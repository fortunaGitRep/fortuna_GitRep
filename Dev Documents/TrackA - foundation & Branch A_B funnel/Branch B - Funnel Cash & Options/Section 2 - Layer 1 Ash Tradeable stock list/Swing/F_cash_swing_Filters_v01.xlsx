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ttings" sheetId="1" state="visible" r:id="rId3"/>
    <sheet name="Filters" sheetId="2" state="visible" r:id="rId4"/>
    <sheet name="Order they run i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<sst xmlns="http://schemas.openxmlformats.org/spreadsheetml/2006/main" count="147" uniqueCount="127">
  <si>
    <t xml:space="preserve">SETTINGS - change the yellow cells only. Everything else recalculates.</t>
  </si>
  <si>
    <t xml:space="preserve">YOUR NUMBERS</t>
  </si>
  <si>
    <t xml:space="preserve">Total capital for swing trading</t>
  </si>
  <si>
    <t xml:space="preserve">Rs</t>
  </si>
  <si>
    <t xml:space="preserve">Change this. Everything below updates.</t>
  </si>
  <si>
    <t xml:space="preserve">Reserve kept aside (not deployed)</t>
  </si>
  <si>
    <t xml:space="preserve">%</t>
  </si>
  <si>
    <t xml:space="preserve">Cash you never put into trades.</t>
  </si>
  <si>
    <t xml:space="preserve">Number of positions held at once</t>
  </si>
  <si>
    <t xml:space="preserve">count</t>
  </si>
  <si>
    <t xml:space="preserve">Your blueprint says 5-8.</t>
  </si>
  <si>
    <t xml:space="preserve">Your order as a share of the stock's daily trading</t>
  </si>
  <si>
    <t xml:space="preserve">1% is safe. Higher = you move the price yourself.</t>
  </si>
  <si>
    <t xml:space="preserve">CALCULATED - do not edit</t>
  </si>
  <si>
    <t xml:space="preserve">Capital actually deployed</t>
  </si>
  <si>
    <t xml:space="preserve">Total minus reserve.</t>
  </si>
  <si>
    <t xml:space="preserve">Size of one position</t>
  </si>
  <si>
    <t xml:space="preserve">Deployed capital split across your positions.</t>
  </si>
  <si>
    <t xml:space="preserve">MINIMUM DAILY TURNOVER a stock must have</t>
  </si>
  <si>
    <t xml:space="preserve">This is the liquidity floor. Filter LF-02 uses it.</t>
  </si>
  <si>
    <t xml:space="preserve">SANITY CHECK</t>
  </si>
  <si>
    <t xml:space="preserve">Your order as a share of a Rs 1 crore/day stock</t>
  </si>
  <si>
    <t xml:space="preserve">If this is above your limit in B8, that stock is too small for you.</t>
  </si>
  <si>
    <t xml:space="preserve">Your order as a share of a Rs 10 crore/day stock</t>
  </si>
  <si>
    <t xml:space="preserve">Why this matters</t>
  </si>
  <si>
    <t xml:space="preserve">A stock trading Rs 2 crore a day: if you buy Rs 1 lakh that is 0.5% of the day - nobody notices you.</t>
  </si>
  <si>
    <t xml:space="preserve">If you buy Rs 50 lakh that is 25% of the day - you ARE the market, and your own buying pushes the price up.</t>
  </si>
  <si>
    <t xml:space="preserve">Selling is worse. You sell on a bad day when everyone else is selling, and you have to drop the price to get out.</t>
  </si>
  <si>
    <t xml:space="preserve">So the rule is not 'Rs 2 crore a day is good'. The rule is 'the stock must trade at least 100x your order size'.</t>
  </si>
  <si>
    <t xml:space="preserve">That formula works at Rs 1 lakh or Rs 5 crore. Change B4 in 2 years and nothing else needs rewriting.</t>
  </si>
  <si>
    <t xml:space="preserve">ID</t>
  </si>
  <si>
    <t xml:space="preserve">Filter</t>
  </si>
  <si>
    <t xml:space="preserve">What it is</t>
  </si>
  <si>
    <t xml:space="preserve">Why add it</t>
  </si>
  <si>
    <t xml:space="preserve">Why NOT add it</t>
  </si>
  <si>
    <t xml:space="preserve">Claude</t>
  </si>
  <si>
    <t xml:space="preserve">Ash</t>
  </si>
  <si>
    <t xml:space="preserve">LF-01</t>
  </si>
  <si>
    <t xml:space="preserve">Stock must trade almost every day</t>
  </si>
  <si>
    <t xml:space="preserve">It must have traded on at least 90 out of every 100 market days in the last 6 months.</t>
  </si>
  <si>
    <t xml:space="preserve">A stock that goes days without a single trade cannot be sold when you want out. There is simply nobody there.</t>
  </si>
  <si>
    <t xml:space="preserve">None. There is no case for holding something that does not trade.</t>
  </si>
  <si>
    <t xml:space="preserve">Yes</t>
  </si>
  <si>
    <t xml:space="preserve">LF-02</t>
  </si>
  <si>
    <t xml:space="preserve">Minimum daily turnover</t>
  </si>
  <si>
    <t xml:space="preserve">How much money changes hands in that stock on an average day. The number comes from the Settings sheet - it is 100x your position size.</t>
  </si>
  <si>
    <t xml:space="preserve">If you are too big a share of the daily trading, your own buying pushes the price up and your own selling pushes it down. You lose money on the way in and again on the way out.</t>
  </si>
  <si>
    <t xml:space="preserve">Set it too high and you are left with only huge slow stocks that barely move in 3 weeks. That is why it is tied to YOUR size, not a fixed number.</t>
  </si>
  <si>
    <t xml:space="preserve">LF-03</t>
  </si>
  <si>
    <t xml:space="preserve">Minimum delivery percentage</t>
  </si>
  <si>
    <t xml:space="preserve">Of all the shares traded in a day, what share was actually bought and held overnight rather than bought and sold the same day.</t>
  </si>
  <si>
    <t xml:space="preserve">High turnover can be fake - day traders passing shares back and forth. Delivery shows real buyers taking real positions. You hold overnight, so you want stocks other overnight holders are in.</t>
  </si>
  <si>
    <t xml:space="preserve">Some genuinely liquid large stocks have low delivery because traders churn them heavily. You might drop good names.</t>
  </si>
  <si>
    <t xml:space="preserve">LF-04</t>
  </si>
  <si>
    <t xml:space="preserve">Minimum free-float value</t>
  </si>
  <si>
    <t xml:space="preserve">The rupee value of shares actually available to the public - excludes promoter and locked-in holdings.</t>
  </si>
  <si>
    <t xml:space="preserve">A stock can look liquid but have very few shares genuinely available. Small buying then swings the price violently in both directions.</t>
  </si>
  <si>
    <t xml:space="preserve">Overlaps with LF-02 quite a lot. May be doing the same job twice.</t>
  </si>
  <si>
    <t xml:space="preserve">LF-05</t>
  </si>
  <si>
    <t xml:space="preserve">Minimum share price</t>
  </si>
  <si>
    <t xml:space="preserve">Exclude stocks priced below roughly Rs 15.</t>
  </si>
  <si>
    <t xml:space="preserve">Below that, the smallest price step the exchange allows (1 paisa) becomes a big share of the price, so spreads eat your profit.</t>
  </si>
  <si>
    <t xml:space="preserve">It is a crude filter. A Rs 12 stock with good turnover is fine. LF-02 may already handle it.</t>
  </si>
  <si>
    <t xml:space="preserve">LF-06</t>
  </si>
  <si>
    <t xml:space="preserve">Minimum daily movement (ATR floor)</t>
  </si>
  <si>
    <t xml:space="preserve">ATR measures how much a stock moves on an average day. This sets a minimum - roughly 1% of its price.</t>
  </si>
  <si>
    <t xml:space="preserve">If a stock moves 0.4% a day, it cannot give you a 8-10% move in 3 weeks. Your money sits there doing nothing.</t>
  </si>
  <si>
    <t xml:space="preserve">Quiet stocks sometimes wake up suddenly. You would miss the start of that.</t>
  </si>
  <si>
    <t xml:space="preserve">LF-07</t>
  </si>
  <si>
    <t xml:space="preserve">Maximum daily movement (ATR ceiling)</t>
  </si>
  <si>
    <t xml:space="preserve">Same measure, upper limit - roughly 6-7% of price.</t>
  </si>
  <si>
    <t xml:space="preserve">A stock moving 8% a day will blow through your stop-loss overnight. You cannot size a position sensibly around it.</t>
  </si>
  <si>
    <t xml:space="preserve">The biggest gains come from the wildest movers. This caps your upside on purpose.</t>
  </si>
  <si>
    <t xml:space="preserve">LF-08</t>
  </si>
  <si>
    <t xml:space="preserve">How often it hits its circuit limit</t>
  </si>
  <si>
    <t xml:space="preserve">Count how many days in the last 6 months the stock got frozen at its daily up or down limit. Exclude if more than 1 day in 5.</t>
  </si>
  <si>
    <t xml:space="preserve">A stock that freezes often will freeze on the day you need to sell. Your stop-loss does not fill.</t>
  </si>
  <si>
    <t xml:space="preserve">You already excluded narrow-band stocks in the never-trade list, so this may catch very few extra names.</t>
  </si>
  <si>
    <t xml:space="preserve">LF-09</t>
  </si>
  <si>
    <t xml:space="preserve">Fundamentals - remove fragile companies</t>
  </si>
  <si>
    <t xml:space="preserve">Check the company's accounts for signs it could collapse suddenly: no net worth left, cannot pay its interest, auditor raised objections, unpaid customer bills piling up.</t>
  </si>
  <si>
    <t xml:space="preserve">No chart warns you about an auditor resigning or a debt default. These are the 30% overnight drops. This is the only thing fundamentals do for a 3-week trade.</t>
  </si>
  <si>
    <t xml:space="preserve">Needs a second data source and costs money. Also only updates every 3 months.</t>
  </si>
  <si>
    <t xml:space="preserve">LF-10</t>
  </si>
  <si>
    <t xml:space="preserve">Fundamentals - keep only high-quality companies</t>
  </si>
  <si>
    <t xml:space="preserve">The opposite approach: keep only companies with strong profits, low debt, steady growth.</t>
  </si>
  <si>
    <t xml:space="preserve">Feels safer. Fewer nasty surprises.</t>
  </si>
  <si>
    <t xml:space="preserve">This is the one I argue against. It leaves you with big steady names that barely move in 3 weeks - exactly the stocks LF-06 would then throw out. It also removes turnaround stories, where a lot of Indian swing gains come from. Good rule for long-term holding, wrong rule for 3 weeks.</t>
  </si>
  <si>
    <t xml:space="preserve">No</t>
  </si>
  <si>
    <t xml:space="preserve">LF-11</t>
  </si>
  <si>
    <t xml:space="preserve">Cap the final list at a fixed number</t>
  </si>
  <si>
    <t xml:space="preserve">After all filters, cut the list down to a set size - say the top 400.</t>
  </si>
  <si>
    <t xml:space="preserve">Keeps the list a predictable size and easier to scan.</t>
  </si>
  <si>
    <t xml:space="preserve">It drops a stock for being 401st, not for anything wrong with it. Let the filters decide how many survive.</t>
  </si>
  <si>
    <t xml:space="preserve">The stocks left after the never-trade list go through these in order</t>
  </si>
  <si>
    <t xml:space="preserve">Step</t>
  </si>
  <si>
    <t xml:space="preserve">Why here</t>
  </si>
  <si>
    <t xml:space="preserve">Start</t>
  </si>
  <si>
    <t xml:space="preserve">Whatever survived the never-trade list</t>
  </si>
  <si>
    <t xml:space="preserve">Roughly 1,200-1,600 names. Estimate, not measured.</t>
  </si>
  <si>
    <t xml:space="preserve">1</t>
  </si>
  <si>
    <t xml:space="preserve">LF-01 trades almost every day</t>
  </si>
  <si>
    <t xml:space="preserve">Free data. Removes dormant names first.</t>
  </si>
  <si>
    <t xml:space="preserve">2</t>
  </si>
  <si>
    <t xml:space="preserve">LF-02 minimum turnover</t>
  </si>
  <si>
    <t xml:space="preserve">Free data. This does most of the cutting.</t>
  </si>
  <si>
    <t xml:space="preserve">3</t>
  </si>
  <si>
    <t xml:space="preserve">LF-03 delivery percentage</t>
  </si>
  <si>
    <t xml:space="preserve">Free data.</t>
  </si>
  <si>
    <t xml:space="preserve">4</t>
  </si>
  <si>
    <t xml:space="preserve">LF-04 free-float value</t>
  </si>
  <si>
    <t xml:space="preserve">5</t>
  </si>
  <si>
    <t xml:space="preserve">LF-05 price floor</t>
  </si>
  <si>
    <t xml:space="preserve">6</t>
  </si>
  <si>
    <t xml:space="preserve">LF-06 and LF-07 movement floor and ceiling</t>
  </si>
  <si>
    <t xml:space="preserve">7</t>
  </si>
  <si>
    <t xml:space="preserve">LF-08 circuit-hit frequency</t>
  </si>
  <si>
    <t xml:space="preserve">roughly 400-600 names left</t>
  </si>
  <si>
    <t xml:space="preserve">Estimate.</t>
  </si>
  <si>
    <t xml:space="preserve">8</t>
  </si>
  <si>
    <t xml:space="preserve">LF-09 fundamentals</t>
  </si>
  <si>
    <t xml:space="preserve">LAST on purpose. This is the only step that needs a second data source and costs money. Running it on 500 names instead of 1,500 is the whole reason for the order.</t>
  </si>
  <si>
    <t xml:space="preserve">roughly 350-500 names left</t>
  </si>
  <si>
    <t xml:space="preserve">Estimate. This is your tradable list.</t>
  </si>
  <si>
    <t xml:space="preserve">Then</t>
  </si>
  <si>
    <t xml:space="preserve">Tagging - sector, movement tier, size tier, F&amp;O flag</t>
  </si>
  <si>
    <t xml:space="preserve">These do not remove anyone. They label what is left so your strategies can filter on a tag instead of screening again.</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</si>
</sst>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0.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D9EAD3"/>
        <bgColor rgb="FFFFF2CC"/>
      </patternFill>
    </fill>
    <fill>
      <patternFill patternType="solid">
        <fgColor rgb="FF1F3B54"/>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5" fontId="7" fillId="2" borderId="0" xfId="0" applyFont="true" applyBorder="false" applyAlignment="true" applyProtection="false">
      <alignment horizontal="general" vertical="center" textRotation="0" wrapText="true" indent="0" shrinkToFit="false"/>
      <protection locked="true" hidden="false"/>
    </xf>
    <xf numFmtId="166"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7" fontId="7" fillId="2"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general" vertical="center" textRotation="0" wrapText="true" indent="0" shrinkToFit="false"/>
      <protection locked="true" hidden="false"/>
    </xf>
    <xf numFmtId="165" fontId="6" fillId="3" borderId="0" xfId="0" applyFont="true" applyBorder="false" applyAlignment="true" applyProtection="false">
      <alignment horizontal="general" vertical="center" textRotation="0" wrapText="true" indent="0" shrinkToFit="false"/>
      <protection locked="true" hidden="false"/>
    </xf>
    <xf numFmtId="168" fontId="5" fillId="0" borderId="0" xfId="0" applyFont="true" applyBorder="false" applyAlignment="true" applyProtection="false">
      <alignment horizontal="general"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8"/>
    <col collapsed="false" customWidth="true" hidden="false" outlineLevel="0" max="4" min="4" style="0" width="52"/>
  </cols>
  <sheetData>
    <row r="1" customFormat="false" ht="15" hidden="false" customHeight="false" outlineLevel="0" collapsed="false">
      <c r="A1" s="1" t="s">
        <v>0</v>
      </c>
    </row>
    <row r="3" customFormat="false" ht="15" hidden="false" customHeight="false" outlineLevel="0" collapsed="false">
      <c r="A3" s="2"/>
      <c r="B3" s="2"/>
      <c r="C3" s="2"/>
      <c r="D3" s="2"/>
    </row>
    <row r="4" customFormat="false" ht="15" hidden="false" customHeight="false" outlineLevel="0" collapsed="false">
      <c r="A4" s="3" t="s">
        <v>1</v>
      </c>
      <c r="B4" s="2"/>
      <c r="C4" s="2"/>
      <c r="D4" s="2"/>
    </row>
    <row r="5" customFormat="false" ht="15" hidden="false" customHeight="false" outlineLevel="0" collapsed="false">
      <c r="A5" s="2" t="s">
        <v>2</v>
      </c>
      <c r="B5" s="4" t="n">
        <v>1000000</v>
      </c>
      <c r="C5" s="2" t="s">
        <v>3</v>
      </c>
      <c r="D5" s="2" t="s">
        <v>4</v>
      </c>
    </row>
    <row r="6" customFormat="false" ht="15" hidden="false" customHeight="false" outlineLevel="0" collapsed="false">
      <c r="A6" s="2" t="s">
        <v>5</v>
      </c>
      <c r="B6" s="5" t="n">
        <v>0.25</v>
      </c>
      <c r="C6" s="2" t="s">
        <v>6</v>
      </c>
      <c r="D6" s="2" t="s">
        <v>7</v>
      </c>
    </row>
    <row r="7" customFormat="false" ht="15" hidden="false" customHeight="false" outlineLevel="0" collapsed="false">
      <c r="A7" s="2" t="s">
        <v>8</v>
      </c>
      <c r="B7" s="6" t="n">
        <v>6</v>
      </c>
      <c r="C7" s="2" t="s">
        <v>9</v>
      </c>
      <c r="D7" s="2" t="s">
        <v>10</v>
      </c>
    </row>
    <row r="8" customFormat="false" ht="15" hidden="false" customHeight="false" outlineLevel="0" collapsed="false">
      <c r="A8" s="2" t="s">
        <v>11</v>
      </c>
      <c r="B8" s="7" t="n">
        <v>0.01</v>
      </c>
      <c r="C8" s="2" t="s">
        <v>6</v>
      </c>
      <c r="D8" s="2" t="s">
        <v>12</v>
      </c>
    </row>
    <row r="9" customFormat="false" ht="15" hidden="false" customHeight="false" outlineLevel="0" collapsed="false">
      <c r="A9" s="2"/>
      <c r="B9" s="2"/>
      <c r="C9" s="2"/>
      <c r="D9" s="2"/>
    </row>
    <row r="10" customFormat="false" ht="15" hidden="false" customHeight="false" outlineLevel="0" collapsed="false">
      <c r="A10" s="3" t="s">
        <v>13</v>
      </c>
      <c r="B10" s="2"/>
      <c r="C10" s="2"/>
      <c r="D10" s="2"/>
    </row>
    <row r="11" customFormat="false" ht="15" hidden="false" customHeight="false" outlineLevel="0" collapsed="false">
      <c r="A11" s="2" t="s">
        <v>14</v>
      </c>
      <c r="B11" s="8" t="n">
        <f aca="false">B5*(1-B6)</f>
        <v>750000</v>
      </c>
      <c r="C11" s="2" t="s">
        <v>3</v>
      </c>
      <c r="D11" s="2" t="s">
        <v>15</v>
      </c>
    </row>
    <row r="12" customFormat="false" ht="15" hidden="false" customHeight="false" outlineLevel="0" collapsed="false">
      <c r="A12" s="2" t="s">
        <v>16</v>
      </c>
      <c r="B12" s="8" t="n">
        <f aca="false">B11/B7</f>
        <v>125000</v>
      </c>
      <c r="C12" s="2" t="s">
        <v>3</v>
      </c>
      <c r="D12" s="2" t="s">
        <v>17</v>
      </c>
    </row>
    <row r="13" customFormat="false" ht="15" hidden="false" customHeight="false" outlineLevel="0" collapsed="false">
      <c r="A13" s="2" t="s">
        <v>18</v>
      </c>
      <c r="B13" s="9" t="n">
        <f aca="false">B12/B8</f>
        <v>12500000</v>
      </c>
      <c r="C13" s="2" t="s">
        <v>3</v>
      </c>
      <c r="D13" s="2" t="s">
        <v>19</v>
      </c>
    </row>
    <row r="14" customFormat="false" ht="15" hidden="false" customHeight="false" outlineLevel="0" collapsed="false">
      <c r="A14" s="2"/>
      <c r="B14" s="2"/>
      <c r="C14" s="2"/>
      <c r="D14" s="2"/>
    </row>
    <row r="15" customFormat="false" ht="15" hidden="false" customHeight="false" outlineLevel="0" collapsed="false">
      <c r="A15" s="3" t="s">
        <v>20</v>
      </c>
      <c r="B15" s="2"/>
      <c r="C15" s="2"/>
      <c r="D15" s="2"/>
    </row>
    <row r="16" customFormat="false" ht="15" hidden="false" customHeight="false" outlineLevel="0" collapsed="false">
      <c r="A16" s="2" t="s">
        <v>21</v>
      </c>
      <c r="B16" s="2" t="n">
        <f aca="false">B12/10000000</f>
        <v>0.0125</v>
      </c>
      <c r="C16" s="2" t="s">
        <v>6</v>
      </c>
      <c r="D16" s="2" t="s">
        <v>22</v>
      </c>
    </row>
    <row r="17" customFormat="false" ht="15" hidden="false" customHeight="false" outlineLevel="0" collapsed="false">
      <c r="A17" s="2" t="s">
        <v>23</v>
      </c>
      <c r="B17" s="10" t="n">
        <f aca="false">B12/100000000</f>
        <v>0.00125</v>
      </c>
      <c r="C17" s="2" t="s">
        <v>6</v>
      </c>
      <c r="D17" s="2"/>
    </row>
    <row r="18" customFormat="false" ht="15" hidden="false" customHeight="false" outlineLevel="0" collapsed="false">
      <c r="B18" s="11"/>
    </row>
    <row r="21" customFormat="false" ht="15" hidden="false" customHeight="false" outlineLevel="0" collapsed="false">
      <c r="A21" s="12" t="s">
        <v>24</v>
      </c>
    </row>
    <row r="22" customFormat="false" ht="15" hidden="false" customHeight="true" outlineLevel="0" collapsed="false">
      <c r="A22" s="13" t="s">
        <v>25</v>
      </c>
      <c r="B22" s="13"/>
      <c r="C22" s="13"/>
      <c r="D22" s="13"/>
    </row>
    <row r="23" customFormat="false" ht="15" hidden="false" customHeight="true" outlineLevel="0" collapsed="false">
      <c r="A23" s="13" t="s">
        <v>26</v>
      </c>
      <c r="B23" s="13"/>
      <c r="C23" s="13"/>
      <c r="D23" s="13"/>
    </row>
    <row r="24" customFormat="false" ht="15" hidden="false" customHeight="true" outlineLevel="0" collapsed="false">
      <c r="A24" s="13" t="s">
        <v>27</v>
      </c>
      <c r="B24" s="13"/>
      <c r="C24" s="13"/>
      <c r="D24" s="13"/>
    </row>
    <row r="25" customFormat="false" ht="15" hidden="false" customHeight="true" outlineLevel="0" collapsed="false">
      <c r="A25" s="13" t="s">
        <v>28</v>
      </c>
      <c r="B25" s="13"/>
      <c r="C25" s="13"/>
      <c r="D25" s="13"/>
    </row>
    <row r="26" customFormat="false" ht="15" hidden="false" customHeight="true" outlineLevel="0" collapsed="false">
      <c r="A26" s="13" t="s">
        <v>29</v>
      </c>
      <c r="B26" s="13"/>
      <c r="C26" s="13"/>
      <c r="D26" s="13"/>
    </row>
  </sheetData>
  <mergeCells count="5">
    <mergeCell ref="A22:D22"/>
    <mergeCell ref="A23:D23"/>
    <mergeCell ref="A24:D24"/>
    <mergeCell ref="A25:D25"/>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44"/>
    <col collapsed="false" customWidth="true" hidden="false" outlineLevel="0" max="5" min="4" style="0" width="52"/>
    <col collapsed="false" customWidth="true" hidden="false" outlineLevel="0" max="6" min="6" style="0" width="9"/>
    <col collapsed="false" customWidth="true" hidden="false" outlineLevel="0" max="7" min="7" style="0" width="8"/>
  </cols>
  <sheetData>
    <row r="1" customFormat="false" ht="27.75" hidden="false" customHeight="true" outlineLevel="0" collapsed="false">
      <c r="A1" s="14" t="s">
        <v>30</v>
      </c>
      <c r="B1" s="14" t="s">
        <v>31</v>
      </c>
      <c r="C1" s="14" t="s">
        <v>32</v>
      </c>
      <c r="D1" s="14" t="s">
        <v>33</v>
      </c>
      <c r="E1" s="14" t="s">
        <v>34</v>
      </c>
      <c r="F1" s="14" t="s">
        <v>35</v>
      </c>
      <c r="G1" s="14" t="s">
        <v>36</v>
      </c>
    </row>
    <row r="2" customFormat="false" ht="91.5" hidden="false" customHeight="true" outlineLevel="0" collapsed="false">
      <c r="A2" s="15" t="s">
        <v>37</v>
      </c>
      <c r="B2" s="16" t="s">
        <v>38</v>
      </c>
      <c r="C2" s="16" t="s">
        <v>39</v>
      </c>
      <c r="D2" s="16" t="s">
        <v>40</v>
      </c>
      <c r="E2" s="16" t="s">
        <v>41</v>
      </c>
      <c r="F2" s="17" t="s">
        <v>42</v>
      </c>
      <c r="G2" s="18"/>
    </row>
    <row r="3" customFormat="false" ht="91.5" hidden="false" customHeight="true" outlineLevel="0" collapsed="false">
      <c r="A3" s="15" t="s">
        <v>43</v>
      </c>
      <c r="B3" s="16" t="s">
        <v>44</v>
      </c>
      <c r="C3" s="16" t="s">
        <v>45</v>
      </c>
      <c r="D3" s="16" t="s">
        <v>46</v>
      </c>
      <c r="E3" s="16" t="s">
        <v>47</v>
      </c>
      <c r="F3" s="17" t="s">
        <v>42</v>
      </c>
      <c r="G3" s="18"/>
    </row>
    <row r="4" customFormat="false" ht="91.5" hidden="false" customHeight="true" outlineLevel="0" collapsed="false">
      <c r="A4" s="15" t="s">
        <v>48</v>
      </c>
      <c r="B4" s="16" t="s">
        <v>49</v>
      </c>
      <c r="C4" s="16" t="s">
        <v>50</v>
      </c>
      <c r="D4" s="16" t="s">
        <v>51</v>
      </c>
      <c r="E4" s="16" t="s">
        <v>52</v>
      </c>
      <c r="F4" s="17" t="s">
        <v>42</v>
      </c>
      <c r="G4" s="18"/>
    </row>
    <row r="5" customFormat="false" ht="91.5" hidden="false" customHeight="true" outlineLevel="0" collapsed="false">
      <c r="A5" s="15" t="s">
        <v>53</v>
      </c>
      <c r="B5" s="16" t="s">
        <v>54</v>
      </c>
      <c r="C5" s="16" t="s">
        <v>55</v>
      </c>
      <c r="D5" s="16" t="s">
        <v>56</v>
      </c>
      <c r="E5" s="16" t="s">
        <v>57</v>
      </c>
      <c r="F5" s="17" t="s">
        <v>42</v>
      </c>
      <c r="G5" s="18"/>
    </row>
    <row r="6" customFormat="false" ht="91.5" hidden="false" customHeight="true" outlineLevel="0" collapsed="false">
      <c r="A6" s="15" t="s">
        <v>58</v>
      </c>
      <c r="B6" s="16" t="s">
        <v>59</v>
      </c>
      <c r="C6" s="16" t="s">
        <v>60</v>
      </c>
      <c r="D6" s="16" t="s">
        <v>61</v>
      </c>
      <c r="E6" s="16" t="s">
        <v>62</v>
      </c>
      <c r="F6" s="17" t="s">
        <v>42</v>
      </c>
      <c r="G6" s="18"/>
    </row>
    <row r="7" customFormat="false" ht="91.5" hidden="false" customHeight="true" outlineLevel="0" collapsed="false">
      <c r="A7" s="15" t="s">
        <v>63</v>
      </c>
      <c r="B7" s="16" t="s">
        <v>64</v>
      </c>
      <c r="C7" s="16" t="s">
        <v>65</v>
      </c>
      <c r="D7" s="16" t="s">
        <v>66</v>
      </c>
      <c r="E7" s="16" t="s">
        <v>67</v>
      </c>
      <c r="F7" s="17" t="s">
        <v>42</v>
      </c>
      <c r="G7" s="18"/>
    </row>
    <row r="8" customFormat="false" ht="91.5" hidden="false" customHeight="true" outlineLevel="0" collapsed="false">
      <c r="A8" s="15" t="s">
        <v>68</v>
      </c>
      <c r="B8" s="16" t="s">
        <v>69</v>
      </c>
      <c r="C8" s="16" t="s">
        <v>70</v>
      </c>
      <c r="D8" s="16" t="s">
        <v>71</v>
      </c>
      <c r="E8" s="16" t="s">
        <v>72</v>
      </c>
      <c r="F8" s="17" t="s">
        <v>42</v>
      </c>
      <c r="G8" s="18"/>
    </row>
    <row r="9" customFormat="false" ht="91.5" hidden="false" customHeight="true" outlineLevel="0" collapsed="false">
      <c r="A9" s="15" t="s">
        <v>73</v>
      </c>
      <c r="B9" s="16" t="s">
        <v>74</v>
      </c>
      <c r="C9" s="16" t="s">
        <v>75</v>
      </c>
      <c r="D9" s="16" t="s">
        <v>76</v>
      </c>
      <c r="E9" s="16" t="s">
        <v>77</v>
      </c>
      <c r="F9" s="17" t="s">
        <v>42</v>
      </c>
      <c r="G9" s="18"/>
    </row>
    <row r="10" customFormat="false" ht="91.5" hidden="false" customHeight="true" outlineLevel="0" collapsed="false">
      <c r="A10" s="15" t="s">
        <v>78</v>
      </c>
      <c r="B10" s="16" t="s">
        <v>79</v>
      </c>
      <c r="C10" s="16" t="s">
        <v>80</v>
      </c>
      <c r="D10" s="16" t="s">
        <v>81</v>
      </c>
      <c r="E10" s="16" t="s">
        <v>82</v>
      </c>
      <c r="F10" s="17" t="s">
        <v>42</v>
      </c>
      <c r="G10" s="18"/>
    </row>
    <row r="11" customFormat="false" ht="91.5" hidden="false" customHeight="true" outlineLevel="0" collapsed="false">
      <c r="A11" s="15" t="s">
        <v>83</v>
      </c>
      <c r="B11" s="16" t="s">
        <v>84</v>
      </c>
      <c r="C11" s="16" t="s">
        <v>85</v>
      </c>
      <c r="D11" s="16" t="s">
        <v>86</v>
      </c>
      <c r="E11" s="16" t="s">
        <v>87</v>
      </c>
      <c r="F11" s="17" t="s">
        <v>88</v>
      </c>
      <c r="G11" s="18"/>
    </row>
    <row r="12" customFormat="false" ht="91.5" hidden="false" customHeight="true" outlineLevel="0" collapsed="false">
      <c r="A12" s="15" t="s">
        <v>89</v>
      </c>
      <c r="B12" s="16" t="s">
        <v>90</v>
      </c>
      <c r="C12" s="16" t="s">
        <v>91</v>
      </c>
      <c r="D12" s="16" t="s">
        <v>92</v>
      </c>
      <c r="E12" s="16" t="s">
        <v>93</v>
      </c>
      <c r="F12" s="17" t="s">
        <v>88</v>
      </c>
      <c r="G12" s="18"/>
    </row>
  </sheetData>
  <dataValidations count="1">
    <dataValidation allowBlank="true" errorStyle="stop" operator="between" showDropDown="false" showErrorMessage="false" showInputMessage="false" sqref="G2:G1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78"/>
  </cols>
  <sheetData>
    <row r="1" customFormat="false" ht="15" hidden="false" customHeight="false" outlineLevel="0" collapsed="false">
      <c r="A1" s="1" t="s">
        <v>94</v>
      </c>
    </row>
    <row r="3" customFormat="false" ht="33.75" hidden="false" customHeight="true" outlineLevel="0" collapsed="false">
      <c r="A3" s="19" t="s">
        <v>95</v>
      </c>
      <c r="B3" s="19" t="s">
        <v>31</v>
      </c>
      <c r="C3" s="19" t="s">
        <v>96</v>
      </c>
    </row>
    <row r="4" customFormat="false" ht="33.75" hidden="false" customHeight="true" outlineLevel="0" collapsed="false">
      <c r="A4" s="19" t="s">
        <v>97</v>
      </c>
      <c r="B4" s="20" t="s">
        <v>98</v>
      </c>
      <c r="C4" s="20" t="s">
        <v>99</v>
      </c>
    </row>
    <row r="5" customFormat="false" ht="33.75" hidden="false" customHeight="true" outlineLevel="0" collapsed="false">
      <c r="A5" s="20" t="s">
        <v>100</v>
      </c>
      <c r="B5" s="20" t="s">
        <v>101</v>
      </c>
      <c r="C5" s="20" t="s">
        <v>102</v>
      </c>
    </row>
    <row r="6" customFormat="false" ht="33.75" hidden="false" customHeight="true" outlineLevel="0" collapsed="false">
      <c r="A6" s="20" t="s">
        <v>103</v>
      </c>
      <c r="B6" s="20" t="s">
        <v>104</v>
      </c>
      <c r="C6" s="20" t="s">
        <v>105</v>
      </c>
    </row>
    <row r="7" customFormat="false" ht="33.75" hidden="false" customHeight="true" outlineLevel="0" collapsed="false">
      <c r="A7" s="20" t="s">
        <v>106</v>
      </c>
      <c r="B7" s="20" t="s">
        <v>107</v>
      </c>
      <c r="C7" s="20" t="s">
        <v>108</v>
      </c>
    </row>
    <row r="8" customFormat="false" ht="33.75" hidden="false" customHeight="true" outlineLevel="0" collapsed="false">
      <c r="A8" s="20" t="s">
        <v>109</v>
      </c>
      <c r="B8" s="20" t="s">
        <v>110</v>
      </c>
      <c r="C8" s="20" t="s">
        <v>108</v>
      </c>
    </row>
    <row r="9" customFormat="false" ht="33.75" hidden="false" customHeight="true" outlineLevel="0" collapsed="false">
      <c r="A9" s="20" t="s">
        <v>111</v>
      </c>
      <c r="B9" s="20" t="s">
        <v>112</v>
      </c>
      <c r="C9" s="20" t="s">
        <v>108</v>
      </c>
    </row>
    <row r="10" customFormat="false" ht="33.75" hidden="false" customHeight="true" outlineLevel="0" collapsed="false">
      <c r="A10" s="20" t="s">
        <v>113</v>
      </c>
      <c r="B10" s="20" t="s">
        <v>114</v>
      </c>
      <c r="C10" s="20" t="s">
        <v>108</v>
      </c>
    </row>
    <row r="11" customFormat="false" ht="33.75" hidden="false" customHeight="true" outlineLevel="0" collapsed="false">
      <c r="A11" s="20" t="s">
        <v>115</v>
      </c>
      <c r="B11" s="20" t="s">
        <v>116</v>
      </c>
      <c r="C11" s="20" t="s">
        <v>108</v>
      </c>
    </row>
    <row r="12" customFormat="false" ht="33.75" hidden="false" customHeight="true" outlineLevel="0" collapsed="false">
      <c r="A12" s="20"/>
      <c r="B12" s="20" t="s">
        <v>117</v>
      </c>
      <c r="C12" s="20" t="s">
        <v>118</v>
      </c>
    </row>
    <row r="13" customFormat="false" ht="33.75" hidden="false" customHeight="true" outlineLevel="0" collapsed="false">
      <c r="A13" s="20" t="s">
        <v>119</v>
      </c>
      <c r="B13" s="20" t="s">
        <v>120</v>
      </c>
      <c r="C13" s="20" t="s">
        <v>121</v>
      </c>
    </row>
    <row r="14" customFormat="false" ht="33.75" hidden="false" customHeight="true" outlineLevel="0" collapsed="false">
      <c r="A14" s="20"/>
      <c r="B14" s="20" t="s">
        <v>122</v>
      </c>
      <c r="C14" s="20" t="s">
        <v>123</v>
      </c>
    </row>
    <row r="15" customFormat="false" ht="33.75" hidden="false" customHeight="true" outlineLevel="0" collapsed="false">
      <c r="A15" s="19" t="s">
        <v>124</v>
      </c>
      <c r="B15" s="20" t="s">
        <v>125</v>
      </c>
      <c r="C15" s="20"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2026-07-23T13:28:34Z</dcterms:created>
  <dc:creator>openpyxl</dc:creator>
  <dc:description/>
  <dc:language>en-US</dc:language>
  <cp:lastModifiedBy/>
  <dcterms:modified xsi:type="dcterms:W3CDTF">2026-07-23T13:28:34Z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