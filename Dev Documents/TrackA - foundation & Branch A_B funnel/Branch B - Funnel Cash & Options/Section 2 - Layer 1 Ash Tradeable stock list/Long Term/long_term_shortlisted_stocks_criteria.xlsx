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Criteria" sheetId="2" state="visible" r:id="rId4"/>
    <sheet name="Screen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<sst xmlns="http://schemas.openxmlformats.org/spreadsheetml/2006/main" count="285" uniqueCount="195">
  <si>
    <t xml:space="preserve">LONG TERM SHORTLISTED STOCKS - CRITERIA</t>
  </si>
  <si>
    <t xml:space="preserve">Holding horizon</t>
  </si>
  <si>
    <t xml:space="preserve">&gt; 1 year</t>
  </si>
  <si>
    <t xml:space="preserve">HOW TO USE</t>
  </si>
  <si>
    <t xml:space="preserve">1</t>
  </si>
  <si>
    <t xml:space="preserve">Criteria tab = the master list. Ash's filters + Claude's filters, with status.</t>
  </si>
  <si>
    <t xml:space="preserve">2</t>
  </si>
  <si>
    <t xml:space="preserve">Screener tab = one row per stock. Fill the BLUE columns only.</t>
  </si>
  <si>
    <t xml:space="preserve">3</t>
  </si>
  <si>
    <t xml:space="preserve">Grey columns on Screener are formulas. Do not type over them.</t>
  </si>
  <si>
    <t xml:space="preserve">4</t>
  </si>
  <si>
    <t xml:space="preserve">Row 6 on Screener is an EXAMPLE row. Delete it before real use.</t>
  </si>
  <si>
    <t xml:space="preserve">COLOUR KEY</t>
  </si>
  <si>
    <t xml:space="preserve">Blue text</t>
  </si>
  <si>
    <t xml:space="preserve">You type here (input)</t>
  </si>
  <si>
    <t xml:space="preserve">Black text</t>
  </si>
  <si>
    <t xml:space="preserve">Formula - leave alone</t>
  </si>
  <si>
    <t xml:space="preserve">Amber header</t>
  </si>
  <si>
    <t xml:space="preserve">Ash's criteria</t>
  </si>
  <si>
    <t xml:space="preserve">Green header</t>
  </si>
  <si>
    <t xml:space="preserve">Claude's criteria</t>
  </si>
  <si>
    <t xml:space="preserve">Grey header</t>
  </si>
  <si>
    <t xml:space="preserve">Calculated</t>
  </si>
  <si>
    <t xml:space="preserve">GATE vs RANK</t>
  </si>
  <si>
    <t xml:space="preserve">Gate</t>
  </si>
  <si>
    <t xml:space="preserve">Pass/fail. Fail one gate = stock is out.</t>
  </si>
  <si>
    <t xml:space="preserve">Rank</t>
  </si>
  <si>
    <t xml:space="preserve">Does not eliminate. Orders the survivors.</t>
  </si>
  <si>
    <t xml:space="preserve">STATUS OF THRESHOLDS</t>
  </si>
  <si>
    <t xml:space="preserve">Warning</t>
  </si>
  <si>
    <t xml:space="preserve">All numeric thresholds are borrowed from Indian institutional practice</t>
  </si>
  <si>
    <t xml:space="preserve">(Marcellus 15% ROCE, Motilal 12% RoE) or US academic work. None are fitted</t>
  </si>
  <si>
    <t xml:space="preserve">to NSE data. Backtest before trusting them.</t>
  </si>
  <si>
    <t xml:space="preserve">ID</t>
  </si>
  <si>
    <t xml:space="preserve">Criterion</t>
  </si>
  <si>
    <t xml:space="preserve">Source</t>
  </si>
  <si>
    <t xml:space="preserve">Type</t>
  </si>
  <si>
    <t xml:space="preserve">Threshold / Test</t>
  </si>
  <si>
    <t xml:space="preserve">Where to get it</t>
  </si>
  <si>
    <t xml:space="preserve">Status</t>
  </si>
  <si>
    <t xml:space="preserve">Notes</t>
  </si>
  <si>
    <t xml:space="preserve">A1</t>
  </si>
  <si>
    <t xml:space="preserve">Technical indicators indicating long term buy</t>
  </si>
  <si>
    <t xml:space="preserve">Ash</t>
  </si>
  <si>
    <t xml:space="preserve">To be defined</t>
  </si>
  <si>
    <t xml:space="preserve">Chart / Dhan</t>
  </si>
  <si>
    <t xml:space="preserve">To be added</t>
  </si>
  <si>
    <t xml:space="preserve">Ash to specify which indicators and on what timeframe</t>
  </si>
  <si>
    <t xml:space="preserve">A2</t>
  </si>
  <si>
    <t xml:space="preserve">Sector research from news/online indicates good LT investment</t>
  </si>
  <si>
    <t xml:space="preserve">Qualitative</t>
  </si>
  <si>
    <t xml:space="preserve">News, sector reports</t>
  </si>
  <si>
    <t xml:space="preserve">Subjective. Needs a scoring rule to be screenable</t>
  </si>
  <si>
    <t xml:space="preserve">A3</t>
  </si>
  <si>
    <t xml:space="preserve">Company management</t>
  </si>
  <si>
    <t xml:space="preserve">Annual report, concalls</t>
  </si>
  <si>
    <t xml:space="preserve">Consider: promoter holding trend, related party txns, auditor changes</t>
  </si>
  <si>
    <t xml:space="preserve">A4</t>
  </si>
  <si>
    <t xml:space="preserve">P&amp;L last 5 years</t>
  </si>
  <si>
    <t xml:space="preserve">Screener.in</t>
  </si>
  <si>
    <t xml:space="preserve">Suggest: profitable in all 5 years</t>
  </si>
  <si>
    <t xml:space="preserve">A5</t>
  </si>
  <si>
    <t xml:space="preserve">EPS</t>
  </si>
  <si>
    <t xml:space="preserve">Level alone is not comparable across stocks - use growth consistency or yield</t>
  </si>
  <si>
    <t xml:space="preserve">A6</t>
  </si>
  <si>
    <t xml:space="preserve">P/E ratio</t>
  </si>
  <si>
    <t xml:space="preserve">NSE / Screener.in</t>
  </si>
  <si>
    <t xml:space="preserve">Overlaps with C10 - decide which one survives</t>
  </si>
  <si>
    <t xml:space="preserve">A7</t>
  </si>
  <si>
    <t xml:space="preserve">Dividend track record</t>
  </si>
  <si>
    <t xml:space="preserve">Suggest: paid in each of last 5 years</t>
  </si>
  <si>
    <t xml:space="preserve">A8</t>
  </si>
  <si>
    <t xml:space="preserve">Bonus track record</t>
  </si>
  <si>
    <t xml:space="preserve">NSE corporate actions</t>
  </si>
  <si>
    <t xml:space="preserve">Weak signal on its own - bonus is cosmetic, not value creating</t>
  </si>
  <si>
    <t xml:space="preserve">A9</t>
  </si>
  <si>
    <t xml:space="preserve">Cash reserves</t>
  </si>
  <si>
    <t xml:space="preserve">Balance sheet</t>
  </si>
  <si>
    <t xml:space="preserve">More useful as cash/market cap than absolute</t>
  </si>
  <si>
    <t xml:space="preserve">A10</t>
  </si>
  <si>
    <t xml:space="preserve">Assets</t>
  </si>
  <si>
    <t xml:space="preserve">Absolute assets say little - asset turnover is the usable version</t>
  </si>
  <si>
    <t xml:space="preserve">A11</t>
  </si>
  <si>
    <t xml:space="preserve">Debt</t>
  </si>
  <si>
    <t xml:space="preserve">Overlaps with C5 - decide which one survives</t>
  </si>
  <si>
    <t xml:space="preserve">A12</t>
  </si>
  <si>
    <t xml:space="preserve">Government policy impact if any</t>
  </si>
  <si>
    <t xml:space="preserve">Budget, ministry sites</t>
  </si>
  <si>
    <t xml:space="preserve">Direction only: Positive / Neutral / Negative</t>
  </si>
  <si>
    <t xml:space="preserve">C1</t>
  </si>
  <si>
    <t xml:space="preserve">ROCE &gt;= 15%, every year, last 7</t>
  </si>
  <si>
    <t xml:space="preserve">Claude</t>
  </si>
  <si>
    <t xml:space="preserve">&gt;= 15% in all 7 years</t>
  </si>
  <si>
    <t xml:space="preserve">Verify later</t>
  </si>
  <si>
    <t xml:space="preserve">Marcellus threshold. Motilal uses RoE &gt;= 12%</t>
  </si>
  <si>
    <t xml:space="preserve">C2</t>
  </si>
  <si>
    <t xml:space="preserve">Revenue growth positive, every year, last 7</t>
  </si>
  <si>
    <t xml:space="preserve">Positive in all 7 years</t>
  </si>
  <si>
    <t xml:space="preserve">Consistency, not rate. Rate has no predictive power</t>
  </si>
  <si>
    <t xml:space="preserve">C3</t>
  </si>
  <si>
    <t xml:space="preserve">Promoter pledge</t>
  </si>
  <si>
    <t xml:space="preserve">NSE shareholding pattern</t>
  </si>
  <si>
    <t xml:space="preserve">Strongest India-specific filter. Pledging linked to crash risk</t>
  </si>
  <si>
    <t xml:space="preserve">C4</t>
  </si>
  <si>
    <t xml:space="preserve">CFO / PAT, 5 year average</t>
  </si>
  <si>
    <t xml:space="preserve">&gt;= 0.8</t>
  </si>
  <si>
    <t xml:space="preserve">Cash flow statement</t>
  </si>
  <si>
    <t xml:space="preserve">Tests whether reported profit becomes cash</t>
  </si>
  <si>
    <t xml:space="preserve">C5</t>
  </si>
  <si>
    <t xml:space="preserve">Debt / Equity</t>
  </si>
  <si>
    <t xml:space="preserve">&lt; 1</t>
  </si>
  <si>
    <t xml:space="preserve">Overlaps with A11</t>
  </si>
  <si>
    <t xml:space="preserve">C6</t>
  </si>
  <si>
    <t xml:space="preserve">Piotroski F-Score</t>
  </si>
  <si>
    <t xml:space="preserve">&gt;= 7</t>
  </si>
  <si>
    <t xml:space="preserve">Screener.in / manual</t>
  </si>
  <si>
    <t xml:space="preserve">9-point score. India validated on Nifty 100, 2007-2024</t>
  </si>
  <si>
    <t xml:space="preserve">C7</t>
  </si>
  <si>
    <t xml:space="preserve">Moat nameable</t>
  </si>
  <si>
    <t xml:space="preserve">One of 4 types</t>
  </si>
  <si>
    <t xml:space="preserve">Judgement</t>
  </si>
  <si>
    <t xml:space="preserve">Intangible / Switching cost / Network / Cost advantage</t>
  </si>
  <si>
    <t xml:space="preserve">C8</t>
  </si>
  <si>
    <t xml:space="preserve">Trough EPS higher than previous cycle trough</t>
  </si>
  <si>
    <t xml:space="preserve">Yes</t>
  </si>
  <si>
    <t xml:space="preserve">10yr EPS history</t>
  </si>
  <si>
    <t xml:space="preserve">Separates compounders from cyclicals</t>
  </si>
  <si>
    <t xml:space="preserve">C9</t>
  </si>
  <si>
    <t xml:space="preserve">Earnings yield</t>
  </si>
  <si>
    <t xml:space="preserve">Higher is better</t>
  </si>
  <si>
    <t xml:space="preserve">EBIT/EV or 1/PE</t>
  </si>
  <si>
    <t xml:space="preserve">Greenblatt. India backtest 13.9% vs Sensex 9.3%</t>
  </si>
  <si>
    <t xml:space="preserve">C10</t>
  </si>
  <si>
    <t xml:space="preserve">Current PE vs own 10yr median</t>
  </si>
  <si>
    <t xml:space="preserve">Lower is better</t>
  </si>
  <si>
    <t xml:space="preserve">Overlaps with A6</t>
  </si>
  <si>
    <t xml:space="preserve">C11</t>
  </si>
  <si>
    <t xml:space="preserve">ROCE stability, 5yr std dev</t>
  </si>
  <si>
    <t xml:space="preserve">Calculate from ROCE history</t>
  </si>
  <si>
    <t xml:space="preserve">Stability is priced separately from level</t>
  </si>
  <si>
    <t xml:space="preserve">OVERLAPS TO RESOLVE</t>
  </si>
  <si>
    <t xml:space="preserve">A6 vs C10 (both P/E based)  |  A11 vs C5 (both debt)  |  A4 vs C2 (both P&amp;L history)</t>
  </si>
  <si>
    <t xml:space="preserve">EXCLUDED DELIBERATELY - do not re-add without evidence</t>
  </si>
  <si>
    <t xml:space="preserve">Past growth RATE - no persistence beyond chance (Chan/Karceski/Lakonishok; Verdad 1997-2022)</t>
  </si>
  <si>
    <t xml:space="preserve">Analyst long term growth forecasts - overly optimistic, low predictive power</t>
  </si>
  <si>
    <t xml:space="preserve">Sector / theme narrative - no evidence base as a return predictor</t>
  </si>
  <si>
    <t xml:space="preserve">Volatility - property of price, not business. Wrong axis for structural vs cyclical</t>
  </si>
  <si>
    <t xml:space="preserve">ASH CRITERIA</t>
  </si>
  <si>
    <t xml:space="preserve">CLAUDE GATES</t>
  </si>
  <si>
    <t xml:space="preserve">CLAUDE RANKS</t>
  </si>
  <si>
    <t xml:space="preserve">CALCULATED</t>
  </si>
  <si>
    <t xml:space="preserve">Sr</t>
  </si>
  <si>
    <t xml:space="preserve">Stock</t>
  </si>
  <si>
    <t xml:space="preserve">Sector</t>
  </si>
  <si>
    <t xml:space="preserve">Mkt Cap (Cr)</t>
  </si>
  <si>
    <t xml:space="preserve">A1 Technical LT Buy (Y/N)</t>
  </si>
  <si>
    <t xml:space="preserve">A2 Sector Outlook (Pos/Neu/Neg)</t>
  </si>
  <si>
    <t xml:space="preserve">A3 Mgmt Score (1-5)</t>
  </si>
  <si>
    <t xml:space="preserve">A4 Profitable All 5Y (Y/N)</t>
  </si>
  <si>
    <t xml:space="preserve">A5 EPS (Rs)</t>
  </si>
  <si>
    <t xml:space="preserve">A6 P/E</t>
  </si>
  <si>
    <t xml:space="preserve">A7 Dividend 5Y (Y/N)</t>
  </si>
  <si>
    <t xml:space="preserve">A8 Bonus History (Y/N)</t>
  </si>
  <si>
    <t xml:space="preserve">A9 Cash Reserves (Cr)</t>
  </si>
  <si>
    <t xml:space="preserve">A10 Total Assets (Cr)</t>
  </si>
  <si>
    <t xml:space="preserve">A11 Total Debt (Cr)</t>
  </si>
  <si>
    <t xml:space="preserve">A12 Govt Policy (Pos/Neu/Neg)</t>
  </si>
  <si>
    <t xml:space="preserve">C1 ROCE&gt;=15% all 7Y (Y/N)</t>
  </si>
  <si>
    <t xml:space="preserve">C2 Rev Growth +ve all 7Y (Y/N)</t>
  </si>
  <si>
    <t xml:space="preserve">C3 Promoter Pledge %</t>
  </si>
  <si>
    <t xml:space="preserve">C4 CFO/PAT 5Y Avg</t>
  </si>
  <si>
    <t xml:space="preserve">C5 Debt/Equity</t>
  </si>
  <si>
    <t xml:space="preserve">C6 Piotroski F-Score</t>
  </si>
  <si>
    <t xml:space="preserve">C7 Moat Type</t>
  </si>
  <si>
    <t xml:space="preserve">C8 Trough EPS Rising (Y/N)</t>
  </si>
  <si>
    <t xml:space="preserve">C9 Earnings Yield %</t>
  </si>
  <si>
    <t xml:space="preserve">C10 PE vs 10Y Median</t>
  </si>
  <si>
    <t xml:space="preserve">C11 ROCE 5Y Std Dev</t>
  </si>
  <si>
    <t xml:space="preserve">Ash Gates Passed (of 4)</t>
  </si>
  <si>
    <t xml:space="preserve">Claude Gates Passed (of 8)</t>
  </si>
  <si>
    <t xml:space="preserve">All Gates Pass?</t>
  </si>
  <si>
    <t xml:space="preserve">Rank: Yield</t>
  </si>
  <si>
    <t xml:space="preserve">Rank: Valuation</t>
  </si>
  <si>
    <t xml:space="preserve">VERDICT</t>
  </si>
  <si>
    <t xml:space="preserve">EX</t>
  </si>
  <si>
    <t xml:space="preserve">EXAMPLE LTD</t>
  </si>
  <si>
    <t xml:space="preserve">Financials</t>
  </si>
  <si>
    <t xml:space="preserve">Y</t>
  </si>
  <si>
    <t xml:space="preserve">Pos</t>
  </si>
  <si>
    <t xml:space="preserve">N</t>
  </si>
  <si>
    <t xml:space="preserve">Network</t>
  </si>
  <si>
    <t xml:space="preserve">Row 3 is an EXAMPLE. Delete it before real use.</t>
  </si>
  <si>
    <t xml:space="preserve">Ash gate count uses A1, A4, A7, A11 only - the other Ash criteria have no threshold defined yet.</t>
  </si>
  <si>
    <t xml:space="preserve">VERDICT: REJECT = failed a Claude gate. SHORTLIST = all Claude gates + 3 of 4 Ash gates. REVIEW = in between.</t>
  </si>
  <si>
    <t xml:space="preserve">Thresholds are borrowed, not fitted to NSE data. Backtest before trusting.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</si>
</sst>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"/>
    <numFmt numFmtId="167" formatCode="0.00"/>
    <numFmt numFmtId="168" formatCode="0.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2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/>
      <c r="B3" s="2"/>
    </row>
    <row r="4" customFormat="false" ht="15" hidden="false" customHeight="false" outlineLevel="0" collapsed="false">
      <c r="A4" s="3" t="s">
        <v>3</v>
      </c>
      <c r="B4" s="2"/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15" hidden="false" customHeight="false" outlineLevel="0" collapsed="false">
      <c r="A6" s="2" t="s">
        <v>6</v>
      </c>
      <c r="B6" s="2" t="s">
        <v>7</v>
      </c>
    </row>
    <row r="7" customFormat="false" ht="1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3" t="s">
        <v>12</v>
      </c>
      <c r="B10" s="2"/>
    </row>
    <row r="11" customFormat="false" ht="15" hidden="false" customHeight="false" outlineLevel="0" collapsed="false">
      <c r="A11" s="4" t="s">
        <v>13</v>
      </c>
      <c r="B11" s="2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 t="s">
        <v>17</v>
      </c>
      <c r="B13" s="2" t="s">
        <v>18</v>
      </c>
    </row>
    <row r="14" customFormat="false" ht="15" hidden="false" customHeight="false" outlineLevel="0" collapsed="false">
      <c r="A14" s="2" t="s">
        <v>19</v>
      </c>
      <c r="B14" s="2" t="s">
        <v>20</v>
      </c>
    </row>
    <row r="15" customFormat="false" ht="15" hidden="false" customHeight="false" outlineLevel="0" collapsed="false">
      <c r="A15" s="2" t="s">
        <v>21</v>
      </c>
      <c r="B15" s="2" t="s">
        <v>22</v>
      </c>
    </row>
    <row r="16" customFormat="false" ht="15" hidden="false" customHeight="false" outlineLevel="0" collapsed="false">
      <c r="A16" s="3"/>
      <c r="B16" s="2"/>
    </row>
    <row r="17" customFormat="false" ht="15" hidden="false" customHeight="false" outlineLevel="0" collapsed="false">
      <c r="A17" s="3" t="s">
        <v>23</v>
      </c>
      <c r="B17" s="2"/>
    </row>
    <row r="18" customFormat="false" ht="15" hidden="false" customHeight="false" outlineLevel="0" collapsed="false">
      <c r="A18" s="2" t="s">
        <v>24</v>
      </c>
      <c r="B18" s="2" t="s">
        <v>25</v>
      </c>
    </row>
    <row r="19" customFormat="false" ht="15" hidden="false" customHeight="false" outlineLevel="0" collapsed="false">
      <c r="A19" s="2" t="s">
        <v>26</v>
      </c>
      <c r="B19" s="2" t="s">
        <v>27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3" t="s">
        <v>28</v>
      </c>
      <c r="B21" s="2"/>
    </row>
    <row r="22" customFormat="false" ht="15" hidden="false" customHeight="false" outlineLevel="0" collapsed="false">
      <c r="A22" s="2" t="s">
        <v>29</v>
      </c>
      <c r="B22" s="2" t="s">
        <v>30</v>
      </c>
    </row>
    <row r="23" customFormat="false" ht="15" hidden="false" customHeight="false" outlineLevel="0" collapsed="false">
      <c r="A23" s="2"/>
      <c r="B23" s="2" t="s">
        <v>31</v>
      </c>
    </row>
    <row r="24" customFormat="false" ht="15" hidden="false" customHeight="false" outlineLevel="0" collapsed="false">
      <c r="A24" s="2"/>
      <c r="B24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</row>
    <row r="2" customFormat="false" ht="15" hidden="false" customHeight="false" outlineLevel="0" collapsed="false">
      <c r="A2" s="6" t="s">
        <v>41</v>
      </c>
      <c r="B2" s="7" t="s">
        <v>42</v>
      </c>
      <c r="C2" s="8" t="s">
        <v>43</v>
      </c>
      <c r="D2" s="8" t="s">
        <v>24</v>
      </c>
      <c r="E2" s="7" t="s">
        <v>44</v>
      </c>
      <c r="F2" s="7" t="s">
        <v>45</v>
      </c>
      <c r="G2" s="7" t="s">
        <v>46</v>
      </c>
      <c r="H2" s="7" t="s">
        <v>47</v>
      </c>
    </row>
    <row r="3" customFormat="false" ht="23.85" hidden="false" customHeight="false" outlineLevel="0" collapsed="false">
      <c r="A3" s="6" t="s">
        <v>48</v>
      </c>
      <c r="B3" s="7" t="s">
        <v>49</v>
      </c>
      <c r="C3" s="8" t="s">
        <v>43</v>
      </c>
      <c r="D3" s="8" t="s">
        <v>50</v>
      </c>
      <c r="E3" s="7" t="s">
        <v>44</v>
      </c>
      <c r="F3" s="7" t="s">
        <v>51</v>
      </c>
      <c r="G3" s="7" t="s">
        <v>46</v>
      </c>
      <c r="H3" s="7" t="s">
        <v>52</v>
      </c>
    </row>
    <row r="4" customFormat="false" ht="23.85" hidden="false" customHeight="false" outlineLevel="0" collapsed="false">
      <c r="A4" s="6" t="s">
        <v>53</v>
      </c>
      <c r="B4" s="7" t="s">
        <v>54</v>
      </c>
      <c r="C4" s="8" t="s">
        <v>43</v>
      </c>
      <c r="D4" s="8" t="s">
        <v>50</v>
      </c>
      <c r="E4" s="7" t="s">
        <v>44</v>
      </c>
      <c r="F4" s="7" t="s">
        <v>55</v>
      </c>
      <c r="G4" s="7" t="s">
        <v>46</v>
      </c>
      <c r="H4" s="7" t="s">
        <v>56</v>
      </c>
    </row>
    <row r="5" customFormat="false" ht="15" hidden="false" customHeight="false" outlineLevel="0" collapsed="false">
      <c r="A5" s="6" t="s">
        <v>57</v>
      </c>
      <c r="B5" s="7" t="s">
        <v>58</v>
      </c>
      <c r="C5" s="8" t="s">
        <v>43</v>
      </c>
      <c r="D5" s="8" t="s">
        <v>24</v>
      </c>
      <c r="E5" s="7" t="s">
        <v>44</v>
      </c>
      <c r="F5" s="7" t="s">
        <v>59</v>
      </c>
      <c r="G5" s="7" t="s">
        <v>46</v>
      </c>
      <c r="H5" s="7" t="s">
        <v>60</v>
      </c>
    </row>
    <row r="6" customFormat="false" ht="23.85" hidden="false" customHeight="false" outlineLevel="0" collapsed="false">
      <c r="A6" s="6" t="s">
        <v>61</v>
      </c>
      <c r="B6" s="7" t="s">
        <v>62</v>
      </c>
      <c r="C6" s="8" t="s">
        <v>43</v>
      </c>
      <c r="D6" s="8" t="s">
        <v>26</v>
      </c>
      <c r="E6" s="7" t="s">
        <v>44</v>
      </c>
      <c r="F6" s="7" t="s">
        <v>59</v>
      </c>
      <c r="G6" s="7" t="s">
        <v>46</v>
      </c>
      <c r="H6" s="7" t="s">
        <v>63</v>
      </c>
    </row>
    <row r="7" customFormat="false" ht="15" hidden="false" customHeight="false" outlineLevel="0" collapsed="false">
      <c r="A7" s="6" t="s">
        <v>64</v>
      </c>
      <c r="B7" s="7" t="s">
        <v>65</v>
      </c>
      <c r="C7" s="8" t="s">
        <v>43</v>
      </c>
      <c r="D7" s="8" t="s">
        <v>26</v>
      </c>
      <c r="E7" s="7" t="s">
        <v>44</v>
      </c>
      <c r="F7" s="7" t="s">
        <v>66</v>
      </c>
      <c r="G7" s="7" t="s">
        <v>46</v>
      </c>
      <c r="H7" s="7" t="s">
        <v>67</v>
      </c>
    </row>
    <row r="8" customFormat="false" ht="15" hidden="false" customHeight="false" outlineLevel="0" collapsed="false">
      <c r="A8" s="6" t="s">
        <v>68</v>
      </c>
      <c r="B8" s="7" t="s">
        <v>69</v>
      </c>
      <c r="C8" s="8" t="s">
        <v>43</v>
      </c>
      <c r="D8" s="8" t="s">
        <v>24</v>
      </c>
      <c r="E8" s="7" t="s">
        <v>44</v>
      </c>
      <c r="F8" s="7" t="s">
        <v>59</v>
      </c>
      <c r="G8" s="7" t="s">
        <v>46</v>
      </c>
      <c r="H8" s="7" t="s">
        <v>70</v>
      </c>
    </row>
    <row r="9" customFormat="false" ht="15" hidden="false" customHeight="false" outlineLevel="0" collapsed="false">
      <c r="A9" s="6" t="s">
        <v>71</v>
      </c>
      <c r="B9" s="7" t="s">
        <v>72</v>
      </c>
      <c r="C9" s="8" t="s">
        <v>43</v>
      </c>
      <c r="D9" s="8" t="s">
        <v>26</v>
      </c>
      <c r="E9" s="7" t="s">
        <v>44</v>
      </c>
      <c r="F9" s="7" t="s">
        <v>73</v>
      </c>
      <c r="G9" s="7" t="s">
        <v>46</v>
      </c>
      <c r="H9" s="7" t="s">
        <v>74</v>
      </c>
    </row>
    <row r="10" customFormat="false" ht="15" hidden="false" customHeight="false" outlineLevel="0" collapsed="false">
      <c r="A10" s="6" t="s">
        <v>75</v>
      </c>
      <c r="B10" s="7" t="s">
        <v>76</v>
      </c>
      <c r="C10" s="8" t="s">
        <v>43</v>
      </c>
      <c r="D10" s="8" t="s">
        <v>26</v>
      </c>
      <c r="E10" s="7" t="s">
        <v>44</v>
      </c>
      <c r="F10" s="7" t="s">
        <v>77</v>
      </c>
      <c r="G10" s="7" t="s">
        <v>46</v>
      </c>
      <c r="H10" s="7" t="s">
        <v>78</v>
      </c>
    </row>
    <row r="11" customFormat="false" ht="15" hidden="false" customHeight="false" outlineLevel="0" collapsed="false">
      <c r="A11" s="6" t="s">
        <v>79</v>
      </c>
      <c r="B11" s="7" t="s">
        <v>80</v>
      </c>
      <c r="C11" s="8" t="s">
        <v>43</v>
      </c>
      <c r="D11" s="8" t="s">
        <v>26</v>
      </c>
      <c r="E11" s="7" t="s">
        <v>44</v>
      </c>
      <c r="F11" s="7" t="s">
        <v>77</v>
      </c>
      <c r="G11" s="7" t="s">
        <v>46</v>
      </c>
      <c r="H11" s="7" t="s">
        <v>81</v>
      </c>
    </row>
    <row r="12" customFormat="false" ht="15" hidden="false" customHeight="false" outlineLevel="0" collapsed="false">
      <c r="A12" s="6" t="s">
        <v>82</v>
      </c>
      <c r="B12" s="7" t="s">
        <v>83</v>
      </c>
      <c r="C12" s="8" t="s">
        <v>43</v>
      </c>
      <c r="D12" s="8" t="s">
        <v>24</v>
      </c>
      <c r="E12" s="7" t="s">
        <v>44</v>
      </c>
      <c r="F12" s="7" t="s">
        <v>77</v>
      </c>
      <c r="G12" s="7" t="s">
        <v>46</v>
      </c>
      <c r="H12" s="7" t="s">
        <v>84</v>
      </c>
    </row>
    <row r="13" customFormat="false" ht="15" hidden="false" customHeight="false" outlineLevel="0" collapsed="false">
      <c r="A13" s="6" t="s">
        <v>85</v>
      </c>
      <c r="B13" s="7" t="s">
        <v>86</v>
      </c>
      <c r="C13" s="8" t="s">
        <v>43</v>
      </c>
      <c r="D13" s="8" t="s">
        <v>50</v>
      </c>
      <c r="E13" s="7" t="s">
        <v>44</v>
      </c>
      <c r="F13" s="7" t="s">
        <v>87</v>
      </c>
      <c r="G13" s="7" t="s">
        <v>46</v>
      </c>
      <c r="H13" s="7" t="s">
        <v>88</v>
      </c>
    </row>
    <row r="14" customFormat="false" ht="15" hidden="false" customHeight="false" outlineLevel="0" collapsed="false">
      <c r="A14" s="9" t="s">
        <v>89</v>
      </c>
      <c r="B14" s="7" t="s">
        <v>90</v>
      </c>
      <c r="C14" s="10" t="s">
        <v>91</v>
      </c>
      <c r="D14" s="10" t="s">
        <v>24</v>
      </c>
      <c r="E14" s="7" t="s">
        <v>92</v>
      </c>
      <c r="F14" s="7" t="s">
        <v>59</v>
      </c>
      <c r="G14" s="7" t="s">
        <v>93</v>
      </c>
      <c r="H14" s="7" t="s">
        <v>94</v>
      </c>
    </row>
    <row r="15" customFormat="false" ht="15" hidden="false" customHeight="false" outlineLevel="0" collapsed="false">
      <c r="A15" s="9" t="s">
        <v>95</v>
      </c>
      <c r="B15" s="7" t="s">
        <v>96</v>
      </c>
      <c r="C15" s="10" t="s">
        <v>91</v>
      </c>
      <c r="D15" s="10" t="s">
        <v>24</v>
      </c>
      <c r="E15" s="7" t="s">
        <v>97</v>
      </c>
      <c r="F15" s="7" t="s">
        <v>59</v>
      </c>
      <c r="G15" s="7" t="s">
        <v>93</v>
      </c>
      <c r="H15" s="7" t="s">
        <v>98</v>
      </c>
    </row>
    <row r="16" customFormat="false" ht="15" hidden="false" customHeight="false" outlineLevel="0" collapsed="false">
      <c r="A16" s="9" t="s">
        <v>99</v>
      </c>
      <c r="B16" s="7" t="s">
        <v>100</v>
      </c>
      <c r="C16" s="10" t="s">
        <v>91</v>
      </c>
      <c r="D16" s="10" t="s">
        <v>24</v>
      </c>
      <c r="E16" s="11" t="n">
        <f aca="false">0%</f>
        <v>0</v>
      </c>
      <c r="F16" s="7" t="s">
        <v>101</v>
      </c>
      <c r="G16" s="7" t="s">
        <v>93</v>
      </c>
      <c r="H16" s="7" t="s">
        <v>102</v>
      </c>
    </row>
    <row r="17" customFormat="false" ht="15" hidden="false" customHeight="false" outlineLevel="0" collapsed="false">
      <c r="A17" s="9" t="s">
        <v>103</v>
      </c>
      <c r="B17" s="7" t="s">
        <v>104</v>
      </c>
      <c r="C17" s="10" t="s">
        <v>91</v>
      </c>
      <c r="D17" s="10" t="s">
        <v>24</v>
      </c>
      <c r="E17" s="7" t="s">
        <v>105</v>
      </c>
      <c r="F17" s="7" t="s">
        <v>106</v>
      </c>
      <c r="G17" s="7" t="s">
        <v>93</v>
      </c>
      <c r="H17" s="7" t="s">
        <v>107</v>
      </c>
    </row>
    <row r="18" customFormat="false" ht="15" hidden="false" customHeight="false" outlineLevel="0" collapsed="false">
      <c r="A18" s="9" t="s">
        <v>108</v>
      </c>
      <c r="B18" s="7" t="s">
        <v>109</v>
      </c>
      <c r="C18" s="10" t="s">
        <v>91</v>
      </c>
      <c r="D18" s="10" t="s">
        <v>24</v>
      </c>
      <c r="E18" s="7" t="s">
        <v>110</v>
      </c>
      <c r="F18" s="7" t="s">
        <v>77</v>
      </c>
      <c r="G18" s="7" t="s">
        <v>93</v>
      </c>
      <c r="H18" s="7" t="s">
        <v>111</v>
      </c>
    </row>
    <row r="19" customFormat="false" ht="15" hidden="false" customHeight="false" outlineLevel="0" collapsed="false">
      <c r="A19" s="9" t="s">
        <v>112</v>
      </c>
      <c r="B19" s="7" t="s">
        <v>113</v>
      </c>
      <c r="C19" s="10" t="s">
        <v>91</v>
      </c>
      <c r="D19" s="10" t="s">
        <v>24</v>
      </c>
      <c r="E19" s="7" t="s">
        <v>114</v>
      </c>
      <c r="F19" s="7" t="s">
        <v>115</v>
      </c>
      <c r="G19" s="7" t="s">
        <v>93</v>
      </c>
      <c r="H19" s="7" t="s">
        <v>116</v>
      </c>
    </row>
    <row r="20" customFormat="false" ht="15" hidden="false" customHeight="false" outlineLevel="0" collapsed="false">
      <c r="A20" s="9" t="s">
        <v>117</v>
      </c>
      <c r="B20" s="7" t="s">
        <v>118</v>
      </c>
      <c r="C20" s="10" t="s">
        <v>91</v>
      </c>
      <c r="D20" s="10" t="s">
        <v>24</v>
      </c>
      <c r="E20" s="7" t="s">
        <v>119</v>
      </c>
      <c r="F20" s="7" t="s">
        <v>120</v>
      </c>
      <c r="G20" s="7" t="s">
        <v>93</v>
      </c>
      <c r="H20" s="7" t="s">
        <v>121</v>
      </c>
    </row>
    <row r="21" customFormat="false" ht="15" hidden="false" customHeight="false" outlineLevel="0" collapsed="false">
      <c r="A21" s="9" t="s">
        <v>122</v>
      </c>
      <c r="B21" s="7" t="s">
        <v>123</v>
      </c>
      <c r="C21" s="10" t="s">
        <v>91</v>
      </c>
      <c r="D21" s="10" t="s">
        <v>24</v>
      </c>
      <c r="E21" s="7" t="s">
        <v>124</v>
      </c>
      <c r="F21" s="7" t="s">
        <v>125</v>
      </c>
      <c r="G21" s="7" t="s">
        <v>93</v>
      </c>
      <c r="H21" s="7" t="s">
        <v>126</v>
      </c>
    </row>
    <row r="22" customFormat="false" ht="15" hidden="false" customHeight="false" outlineLevel="0" collapsed="false">
      <c r="A22" s="9" t="s">
        <v>127</v>
      </c>
      <c r="B22" s="7" t="s">
        <v>128</v>
      </c>
      <c r="C22" s="10" t="s">
        <v>91</v>
      </c>
      <c r="D22" s="10" t="s">
        <v>26</v>
      </c>
      <c r="E22" s="7" t="s">
        <v>129</v>
      </c>
      <c r="F22" s="7" t="s">
        <v>130</v>
      </c>
      <c r="G22" s="7" t="s">
        <v>93</v>
      </c>
      <c r="H22" s="7" t="s">
        <v>131</v>
      </c>
    </row>
    <row r="23" customFormat="false" ht="15" hidden="false" customHeight="false" outlineLevel="0" collapsed="false">
      <c r="A23" s="9" t="s">
        <v>132</v>
      </c>
      <c r="B23" s="7" t="s">
        <v>133</v>
      </c>
      <c r="C23" s="10" t="s">
        <v>91</v>
      </c>
      <c r="D23" s="10" t="s">
        <v>26</v>
      </c>
      <c r="E23" s="7" t="s">
        <v>134</v>
      </c>
      <c r="F23" s="7" t="s">
        <v>59</v>
      </c>
      <c r="G23" s="7" t="s">
        <v>93</v>
      </c>
      <c r="H23" s="7" t="s">
        <v>135</v>
      </c>
    </row>
    <row r="24" customFormat="false" ht="15" hidden="false" customHeight="false" outlineLevel="0" collapsed="false">
      <c r="A24" s="9" t="s">
        <v>136</v>
      </c>
      <c r="B24" s="7" t="s">
        <v>137</v>
      </c>
      <c r="C24" s="10" t="s">
        <v>91</v>
      </c>
      <c r="D24" s="10" t="s">
        <v>26</v>
      </c>
      <c r="E24" s="7" t="s">
        <v>134</v>
      </c>
      <c r="F24" s="7" t="s">
        <v>138</v>
      </c>
      <c r="G24" s="7" t="s">
        <v>93</v>
      </c>
      <c r="H24" s="7" t="s">
        <v>139</v>
      </c>
    </row>
    <row r="26" customFormat="false" ht="15" hidden="false" customHeight="false" outlineLevel="0" collapsed="false">
      <c r="B26" s="3" t="s">
        <v>140</v>
      </c>
    </row>
    <row r="27" customFormat="false" ht="15" hidden="false" customHeight="false" outlineLevel="0" collapsed="false">
      <c r="B27" s="2" t="s">
        <v>141</v>
      </c>
    </row>
    <row r="29" customFormat="false" ht="15" hidden="false" customHeight="false" outlineLevel="0" collapsed="false">
      <c r="B29" s="3" t="s">
        <v>142</v>
      </c>
    </row>
    <row r="30" customFormat="false" ht="15" hidden="false" customHeight="false" outlineLevel="0" collapsed="false">
      <c r="B30" s="2" t="s">
        <v>143</v>
      </c>
    </row>
    <row r="31" customFormat="false" ht="15" hidden="false" customHeight="false" outlineLevel="0" collapsed="false">
      <c r="B31" s="2" t="s">
        <v>144</v>
      </c>
    </row>
    <row r="32" customFormat="false" ht="15" hidden="false" customHeight="false" outlineLevel="0" collapsed="false">
      <c r="B32" s="2" t="s">
        <v>145</v>
      </c>
    </row>
    <row r="33" customFormat="false" ht="15" hidden="false" customHeight="false" outlineLevel="0" collapsed="false">
      <c r="B33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2" min="11" style="0" width="12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8" min="16" style="0" width="13"/>
    <col collapsed="false" customWidth="true" hidden="false" outlineLevel="0" max="20" min="19" style="0" width="12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6"/>
    <col collapsed="false" customWidth="true" hidden="false" outlineLevel="0" max="24" min="24" style="0" width="13"/>
    <col collapsed="false" customWidth="true" hidden="false" outlineLevel="0" max="28" min="25" style="0" width="12"/>
    <col collapsed="false" customWidth="true" hidden="false" outlineLevel="0" max="29" min="29" style="0" width="13"/>
    <col collapsed="false" customWidth="true" hidden="false" outlineLevel="0" max="30" min="30" style="0" width="12"/>
    <col collapsed="false" customWidth="true" hidden="false" outlineLevel="0" max="31" min="31" style="0" width="10"/>
    <col collapsed="false" customWidth="true" hidden="false" outlineLevel="0" max="32" min="32" style="0" width="11"/>
    <col collapsed="false" customWidth="true" hidden="false" outlineLevel="0" max="33" min="33" style="0" width="14"/>
  </cols>
  <sheetData>
    <row r="1" customFormat="false" ht="15" hidden="false" customHeight="false" outlineLevel="0" collapsed="false">
      <c r="E1" s="12" t="s">
        <v>147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 t="s">
        <v>148</v>
      </c>
      <c r="R1" s="13"/>
      <c r="S1" s="13"/>
      <c r="T1" s="13"/>
      <c r="U1" s="13"/>
      <c r="V1" s="13"/>
      <c r="W1" s="13"/>
      <c r="X1" s="13"/>
      <c r="Y1" s="13" t="s">
        <v>149</v>
      </c>
      <c r="Z1" s="13"/>
      <c r="AA1" s="13"/>
      <c r="AB1" s="14" t="s">
        <v>150</v>
      </c>
      <c r="AC1" s="14"/>
      <c r="AD1" s="14"/>
      <c r="AE1" s="14"/>
      <c r="AF1" s="14"/>
      <c r="AG1" s="14"/>
    </row>
    <row r="2" customFormat="false" ht="45.75" hidden="false" customHeight="true" outlineLevel="0" collapsed="false">
      <c r="A2" s="5" t="s">
        <v>151</v>
      </c>
      <c r="B2" s="5" t="s">
        <v>152</v>
      </c>
      <c r="C2" s="5" t="s">
        <v>153</v>
      </c>
      <c r="D2" s="5" t="s">
        <v>154</v>
      </c>
      <c r="E2" s="5" t="s">
        <v>155</v>
      </c>
      <c r="F2" s="5" t="s">
        <v>156</v>
      </c>
      <c r="G2" s="5" t="s">
        <v>157</v>
      </c>
      <c r="H2" s="5" t="s">
        <v>158</v>
      </c>
      <c r="I2" s="5" t="s">
        <v>159</v>
      </c>
      <c r="J2" s="5" t="s">
        <v>160</v>
      </c>
      <c r="K2" s="5" t="s">
        <v>161</v>
      </c>
      <c r="L2" s="5" t="s">
        <v>162</v>
      </c>
      <c r="M2" s="5" t="s">
        <v>163</v>
      </c>
      <c r="N2" s="5" t="s">
        <v>164</v>
      </c>
      <c r="O2" s="5" t="s">
        <v>165</v>
      </c>
      <c r="P2" s="5" t="s">
        <v>166</v>
      </c>
      <c r="Q2" s="5" t="s">
        <v>167</v>
      </c>
      <c r="R2" s="5" t="s">
        <v>168</v>
      </c>
      <c r="S2" s="5" t="s">
        <v>169</v>
      </c>
      <c r="T2" s="5" t="s">
        <v>170</v>
      </c>
      <c r="U2" s="5" t="s">
        <v>171</v>
      </c>
      <c r="V2" s="5" t="s">
        <v>172</v>
      </c>
      <c r="W2" s="5" t="s">
        <v>173</v>
      </c>
      <c r="X2" s="5" t="s">
        <v>174</v>
      </c>
      <c r="Y2" s="5" t="s">
        <v>175</v>
      </c>
      <c r="Z2" s="5" t="s">
        <v>176</v>
      </c>
      <c r="AA2" s="5" t="s">
        <v>177</v>
      </c>
      <c r="AB2" s="5" t="s">
        <v>178</v>
      </c>
      <c r="AC2" s="5" t="s">
        <v>179</v>
      </c>
      <c r="AD2" s="5" t="s">
        <v>180</v>
      </c>
      <c r="AE2" s="5" t="s">
        <v>181</v>
      </c>
      <c r="AF2" s="5" t="s">
        <v>182</v>
      </c>
      <c r="AG2" s="5" t="s">
        <v>183</v>
      </c>
    </row>
    <row r="3" customFormat="false" ht="15" hidden="false" customHeight="false" outlineLevel="0" collapsed="false">
      <c r="A3" s="15" t="s">
        <v>184</v>
      </c>
      <c r="B3" s="15" t="s">
        <v>185</v>
      </c>
      <c r="C3" s="15" t="s">
        <v>186</v>
      </c>
      <c r="D3" s="16" t="n">
        <v>45000</v>
      </c>
      <c r="E3" s="15" t="s">
        <v>187</v>
      </c>
      <c r="F3" s="15" t="s">
        <v>188</v>
      </c>
      <c r="G3" s="15" t="n">
        <v>4</v>
      </c>
      <c r="H3" s="15" t="s">
        <v>187</v>
      </c>
      <c r="I3" s="17" t="n">
        <v>32.5</v>
      </c>
      <c r="J3" s="18" t="n">
        <v>28.4</v>
      </c>
      <c r="K3" s="15" t="s">
        <v>187</v>
      </c>
      <c r="L3" s="15" t="s">
        <v>189</v>
      </c>
      <c r="M3" s="16" t="n">
        <v>1200</v>
      </c>
      <c r="N3" s="16" t="n">
        <v>8500</v>
      </c>
      <c r="O3" s="16" t="n">
        <v>900</v>
      </c>
      <c r="P3" s="15" t="s">
        <v>188</v>
      </c>
      <c r="Q3" s="15" t="s">
        <v>187</v>
      </c>
      <c r="R3" s="15" t="s">
        <v>187</v>
      </c>
      <c r="S3" s="17" t="n">
        <v>0</v>
      </c>
      <c r="T3" s="17" t="n">
        <v>0.92</v>
      </c>
      <c r="U3" s="17" t="n">
        <v>0.35</v>
      </c>
      <c r="V3" s="15" t="n">
        <v>8</v>
      </c>
      <c r="W3" s="15" t="s">
        <v>190</v>
      </c>
      <c r="X3" s="15" t="s">
        <v>187</v>
      </c>
      <c r="Y3" s="17" t="n">
        <v>3.5</v>
      </c>
      <c r="Z3" s="17" t="n">
        <v>1.05</v>
      </c>
      <c r="AA3" s="17" t="n">
        <v>2.1</v>
      </c>
      <c r="AB3" s="19" t="n">
        <f aca="false">IF(B3="","",IF(E3="Y",1,0)+IF(H3="Y",1,0)+IF(K3="Y",1,0)+IF(AND(O3&lt;&gt;"",O3&gt;=0),1,0))</f>
        <v>4</v>
      </c>
      <c r="AC3" s="19" t="n">
        <f aca="false">IF(B3="","",IF(Q3="Y",1,0)+IF(R3="Y",1,0)+IF(AND(S3&lt;&gt;"",S3=0),1,0)+IF(AND(T3&lt;&gt;"",T3&gt;=0.8),1,0)+IF(AND(U3&lt;&gt;"",U3&lt;1),1,0)+IF(AND(V3&lt;&gt;"",V3&gt;=7),1,0)+IF(W3&lt;&gt;"",1,0)+IF(X3="Y",1,0))</f>
        <v>8</v>
      </c>
      <c r="AD3" s="19" t="str">
        <f aca="false">IF(B3="","",IF(AC3=8,"PASS","FAIL"))</f>
        <v>PASS</v>
      </c>
      <c r="AE3" s="19" t="n">
        <f aca="false">IF(OR(B3="",Y3=""),"",COUNTIFS($Y$3:$Y$52,"&gt;"&amp;Y3,$B$3:$B$52,"&lt;&gt;")+1)</f>
        <v>1</v>
      </c>
      <c r="AF3" s="19" t="n">
        <f aca="false">IF(OR(B3="",Z3=""),"",COUNTIFS($Z$3:$Z$52,"&lt;"&amp;Z3,$B$3:$B$52,"&lt;&gt;")+1)</f>
        <v>1</v>
      </c>
      <c r="AG3" s="20" t="str">
        <f aca="false">IF(B3="","",IF(AD3="FAIL","REJECT",IF(AB3&gt;=3,"SHORTLIST","REVIEW")))</f>
        <v>SHORTLIST</v>
      </c>
    </row>
    <row r="4" customFormat="false" ht="15" hidden="false" customHeight="false" outlineLevel="0" collapsed="false">
      <c r="A4" s="21" t="n">
        <v>1</v>
      </c>
      <c r="B4" s="22"/>
      <c r="C4" s="22"/>
      <c r="D4" s="23"/>
      <c r="E4" s="22"/>
      <c r="F4" s="22"/>
      <c r="G4" s="22"/>
      <c r="H4" s="22"/>
      <c r="I4" s="24"/>
      <c r="J4" s="25"/>
      <c r="K4" s="22"/>
      <c r="L4" s="22"/>
      <c r="M4" s="23"/>
      <c r="N4" s="23"/>
      <c r="O4" s="23"/>
      <c r="P4" s="22"/>
      <c r="Q4" s="22"/>
      <c r="R4" s="22"/>
      <c r="S4" s="24"/>
      <c r="T4" s="24"/>
      <c r="U4" s="24"/>
      <c r="V4" s="22"/>
      <c r="W4" s="22"/>
      <c r="X4" s="22"/>
      <c r="Y4" s="24"/>
      <c r="Z4" s="24"/>
      <c r="AA4" s="24"/>
      <c r="AB4" s="19" t="str">
        <f aca="false">IF(B4="","",IF(E4="Y",1,0)+IF(H4="Y",1,0)+IF(K4="Y",1,0)+IF(AND(O4&lt;&gt;"",O4&gt;=0),1,0))</f>
        <v/>
      </c>
      <c r="AC4" s="19" t="str">
        <f aca="false">IF(B4="","",IF(Q4="Y",1,0)+IF(R4="Y",1,0)+IF(AND(S4&lt;&gt;"",S4=0),1,0)+IF(AND(T4&lt;&gt;"",T4&gt;=0.8),1,0)+IF(AND(U4&lt;&gt;"",U4&lt;1),1,0)+IF(AND(V4&lt;&gt;"",V4&gt;=7),1,0)+IF(W4&lt;&gt;"",1,0)+IF(X4="Y",1,0))</f>
        <v/>
      </c>
      <c r="AD4" s="19" t="str">
        <f aca="false">IF(B4="","",IF(AC4=8,"PASS","FAIL"))</f>
        <v/>
      </c>
      <c r="AE4" s="19" t="str">
        <f aca="false">IF(OR(B4="",Y4=""),"",COUNTIFS($Y$3:$Y$52,"&gt;"&amp;Y4,$B$3:$B$52,"&lt;&gt;")+1)</f>
        <v/>
      </c>
      <c r="AF4" s="19" t="str">
        <f aca="false">IF(OR(B4="",Z4=""),"",COUNTIFS($Z$3:$Z$52,"&lt;"&amp;Z4,$B$3:$B$52,"&lt;&gt;")+1)</f>
        <v/>
      </c>
      <c r="AG4" s="20" t="str">
        <f aca="false">IF(B4="","",IF(AD4="FAIL","REJECT",IF(AB4&gt;=3,"SHORTLIST","REVIEW")))</f>
        <v/>
      </c>
    </row>
    <row r="5" customFormat="false" ht="15" hidden="false" customHeight="false" outlineLevel="0" collapsed="false">
      <c r="A5" s="21" t="n">
        <v>2</v>
      </c>
      <c r="B5" s="22"/>
      <c r="C5" s="22"/>
      <c r="D5" s="23"/>
      <c r="E5" s="22"/>
      <c r="F5" s="22"/>
      <c r="G5" s="22"/>
      <c r="H5" s="22"/>
      <c r="I5" s="24"/>
      <c r="J5" s="25"/>
      <c r="K5" s="22"/>
      <c r="L5" s="22"/>
      <c r="M5" s="23"/>
      <c r="N5" s="23"/>
      <c r="O5" s="23"/>
      <c r="P5" s="22"/>
      <c r="Q5" s="22"/>
      <c r="R5" s="22"/>
      <c r="S5" s="24"/>
      <c r="T5" s="24"/>
      <c r="U5" s="24"/>
      <c r="V5" s="22"/>
      <c r="W5" s="22"/>
      <c r="X5" s="22"/>
      <c r="Y5" s="24"/>
      <c r="Z5" s="24"/>
      <c r="AA5" s="24"/>
      <c r="AB5" s="19" t="str">
        <f aca="false">IF(B5="","",IF(E5="Y",1,0)+IF(H5="Y",1,0)+IF(K5="Y",1,0)+IF(AND(O5&lt;&gt;"",O5&gt;=0),1,0))</f>
        <v/>
      </c>
      <c r="AC5" s="19" t="str">
        <f aca="false">IF(B5="","",IF(Q5="Y",1,0)+IF(R5="Y",1,0)+IF(AND(S5&lt;&gt;"",S5=0),1,0)+IF(AND(T5&lt;&gt;"",T5&gt;=0.8),1,0)+IF(AND(U5&lt;&gt;"",U5&lt;1),1,0)+IF(AND(V5&lt;&gt;"",V5&gt;=7),1,0)+IF(W5&lt;&gt;"",1,0)+IF(X5="Y",1,0))</f>
        <v/>
      </c>
      <c r="AD5" s="19" t="str">
        <f aca="false">IF(B5="","",IF(AC5=8,"PASS","FAIL"))</f>
        <v/>
      </c>
      <c r="AE5" s="19" t="str">
        <f aca="false">IF(OR(B5="",Y5=""),"",COUNTIFS($Y$3:$Y$52,"&gt;"&amp;Y5,$B$3:$B$52,"&lt;&gt;")+1)</f>
        <v/>
      </c>
      <c r="AF5" s="19" t="str">
        <f aca="false">IF(OR(B5="",Z5=""),"",COUNTIFS($Z$3:$Z$52,"&lt;"&amp;Z5,$B$3:$B$52,"&lt;&gt;")+1)</f>
        <v/>
      </c>
      <c r="AG5" s="20" t="str">
        <f aca="false">IF(B5="","",IF(AD5="FAIL","REJECT",IF(AB5&gt;=3,"SHORTLIST","REVIEW")))</f>
        <v/>
      </c>
    </row>
    <row r="6" customFormat="false" ht="15" hidden="false" customHeight="false" outlineLevel="0" collapsed="false">
      <c r="A6" s="21" t="n">
        <v>3</v>
      </c>
      <c r="B6" s="22"/>
      <c r="C6" s="22"/>
      <c r="D6" s="23"/>
      <c r="E6" s="22"/>
      <c r="F6" s="22"/>
      <c r="G6" s="22"/>
      <c r="H6" s="22"/>
      <c r="I6" s="24"/>
      <c r="J6" s="25"/>
      <c r="K6" s="22"/>
      <c r="L6" s="22"/>
      <c r="M6" s="23"/>
      <c r="N6" s="23"/>
      <c r="O6" s="23"/>
      <c r="P6" s="22"/>
      <c r="Q6" s="22"/>
      <c r="R6" s="22"/>
      <c r="S6" s="24"/>
      <c r="T6" s="24"/>
      <c r="U6" s="24"/>
      <c r="V6" s="22"/>
      <c r="W6" s="22"/>
      <c r="X6" s="22"/>
      <c r="Y6" s="24"/>
      <c r="Z6" s="24"/>
      <c r="AA6" s="24"/>
      <c r="AB6" s="19" t="str">
        <f aca="false">IF(B6="","",IF(E6="Y",1,0)+IF(H6="Y",1,0)+IF(K6="Y",1,0)+IF(AND(O6&lt;&gt;"",O6&gt;=0),1,0))</f>
        <v/>
      </c>
      <c r="AC6" s="19" t="str">
        <f aca="false">IF(B6="","",IF(Q6="Y",1,0)+IF(R6="Y",1,0)+IF(AND(S6&lt;&gt;"",S6=0),1,0)+IF(AND(T6&lt;&gt;"",T6&gt;=0.8),1,0)+IF(AND(U6&lt;&gt;"",U6&lt;1),1,0)+IF(AND(V6&lt;&gt;"",V6&gt;=7),1,0)+IF(W6&lt;&gt;"",1,0)+IF(X6="Y",1,0))</f>
        <v/>
      </c>
      <c r="AD6" s="19" t="str">
        <f aca="false">IF(B6="","",IF(AC6=8,"PASS","FAIL"))</f>
        <v/>
      </c>
      <c r="AE6" s="19" t="str">
        <f aca="false">IF(OR(B6="",Y6=""),"",COUNTIFS($Y$3:$Y$52,"&gt;"&amp;Y6,$B$3:$B$52,"&lt;&gt;")+1)</f>
        <v/>
      </c>
      <c r="AF6" s="19" t="str">
        <f aca="false">IF(OR(B6="",Z6=""),"",COUNTIFS($Z$3:$Z$52,"&lt;"&amp;Z6,$B$3:$B$52,"&lt;&gt;")+1)</f>
        <v/>
      </c>
      <c r="AG6" s="20" t="str">
        <f aca="false">IF(B6="","",IF(AD6="FAIL","REJECT",IF(AB6&gt;=3,"SHORTLIST","REVIEW")))</f>
        <v/>
      </c>
    </row>
    <row r="7" customFormat="false" ht="15" hidden="false" customHeight="false" outlineLevel="0" collapsed="false">
      <c r="A7" s="21" t="n">
        <v>4</v>
      </c>
      <c r="B7" s="22"/>
      <c r="C7" s="22"/>
      <c r="D7" s="23"/>
      <c r="E7" s="22"/>
      <c r="F7" s="22"/>
      <c r="G7" s="22"/>
      <c r="H7" s="22"/>
      <c r="I7" s="24"/>
      <c r="J7" s="25"/>
      <c r="K7" s="22"/>
      <c r="L7" s="22"/>
      <c r="M7" s="23"/>
      <c r="N7" s="23"/>
      <c r="O7" s="23"/>
      <c r="P7" s="22"/>
      <c r="Q7" s="22"/>
      <c r="R7" s="22"/>
      <c r="S7" s="24"/>
      <c r="T7" s="24"/>
      <c r="U7" s="24"/>
      <c r="V7" s="22"/>
      <c r="W7" s="22"/>
      <c r="X7" s="22"/>
      <c r="Y7" s="24"/>
      <c r="Z7" s="24"/>
      <c r="AA7" s="24"/>
      <c r="AB7" s="19" t="str">
        <f aca="false">IF(B7="","",IF(E7="Y",1,0)+IF(H7="Y",1,0)+IF(K7="Y",1,0)+IF(AND(O7&lt;&gt;"",O7&gt;=0),1,0))</f>
        <v/>
      </c>
      <c r="AC7" s="19" t="str">
        <f aca="false">IF(B7="","",IF(Q7="Y",1,0)+IF(R7="Y",1,0)+IF(AND(S7&lt;&gt;"",S7=0),1,0)+IF(AND(T7&lt;&gt;"",T7&gt;=0.8),1,0)+IF(AND(U7&lt;&gt;"",U7&lt;1),1,0)+IF(AND(V7&lt;&gt;"",V7&gt;=7),1,0)+IF(W7&lt;&gt;"",1,0)+IF(X7="Y",1,0))</f>
        <v/>
      </c>
      <c r="AD7" s="19" t="str">
        <f aca="false">IF(B7="","",IF(AC7=8,"PASS","FAIL"))</f>
        <v/>
      </c>
      <c r="AE7" s="19" t="str">
        <f aca="false">IF(OR(B7="",Y7=""),"",COUNTIFS($Y$3:$Y$52,"&gt;"&amp;Y7,$B$3:$B$52,"&lt;&gt;")+1)</f>
        <v/>
      </c>
      <c r="AF7" s="19" t="str">
        <f aca="false">IF(OR(B7="",Z7=""),"",COUNTIFS($Z$3:$Z$52,"&lt;"&amp;Z7,$B$3:$B$52,"&lt;&gt;")+1)</f>
        <v/>
      </c>
      <c r="AG7" s="20" t="str">
        <f aca="false">IF(B7="","",IF(AD7="FAIL","REJECT",IF(AB7&gt;=3,"SHORTLIST","REVIEW")))</f>
        <v/>
      </c>
    </row>
    <row r="8" customFormat="false" ht="15" hidden="false" customHeight="false" outlineLevel="0" collapsed="false">
      <c r="A8" s="21" t="n">
        <v>5</v>
      </c>
      <c r="B8" s="22"/>
      <c r="C8" s="22"/>
      <c r="D8" s="23"/>
      <c r="E8" s="22"/>
      <c r="F8" s="22"/>
      <c r="G8" s="22"/>
      <c r="H8" s="22"/>
      <c r="I8" s="24"/>
      <c r="J8" s="25"/>
      <c r="K8" s="22"/>
      <c r="L8" s="22"/>
      <c r="M8" s="23"/>
      <c r="N8" s="23"/>
      <c r="O8" s="23"/>
      <c r="P8" s="22"/>
      <c r="Q8" s="22"/>
      <c r="R8" s="22"/>
      <c r="S8" s="24"/>
      <c r="T8" s="24"/>
      <c r="U8" s="24"/>
      <c r="V8" s="22"/>
      <c r="W8" s="22"/>
      <c r="X8" s="22"/>
      <c r="Y8" s="24"/>
      <c r="Z8" s="24"/>
      <c r="AA8" s="24"/>
      <c r="AB8" s="19" t="str">
        <f aca="false">IF(B8="","",IF(E8="Y",1,0)+IF(H8="Y",1,0)+IF(K8="Y",1,0)+IF(AND(O8&lt;&gt;"",O8&gt;=0),1,0))</f>
        <v/>
      </c>
      <c r="AC8" s="19" t="str">
        <f aca="false">IF(B8="","",IF(Q8="Y",1,0)+IF(R8="Y",1,0)+IF(AND(S8&lt;&gt;"",S8=0),1,0)+IF(AND(T8&lt;&gt;"",T8&gt;=0.8),1,0)+IF(AND(U8&lt;&gt;"",U8&lt;1),1,0)+IF(AND(V8&lt;&gt;"",V8&gt;=7),1,0)+IF(W8&lt;&gt;"",1,0)+IF(X8="Y",1,0))</f>
        <v/>
      </c>
      <c r="AD8" s="19" t="str">
        <f aca="false">IF(B8="","",IF(AC8=8,"PASS","FAIL"))</f>
        <v/>
      </c>
      <c r="AE8" s="19" t="str">
        <f aca="false">IF(OR(B8="",Y8=""),"",COUNTIFS($Y$3:$Y$52,"&gt;"&amp;Y8,$B$3:$B$52,"&lt;&gt;")+1)</f>
        <v/>
      </c>
      <c r="AF8" s="19" t="str">
        <f aca="false">IF(OR(B8="",Z8=""),"",COUNTIFS($Z$3:$Z$52,"&lt;"&amp;Z8,$B$3:$B$52,"&lt;&gt;")+1)</f>
        <v/>
      </c>
      <c r="AG8" s="20" t="str">
        <f aca="false">IF(B8="","",IF(AD8="FAIL","REJECT",IF(AB8&gt;=3,"SHORTLIST","REVIEW")))</f>
        <v/>
      </c>
    </row>
    <row r="9" customFormat="false" ht="15" hidden="false" customHeight="false" outlineLevel="0" collapsed="false">
      <c r="A9" s="21" t="n">
        <v>6</v>
      </c>
      <c r="B9" s="22"/>
      <c r="C9" s="22"/>
      <c r="D9" s="23"/>
      <c r="E9" s="22"/>
      <c r="F9" s="22"/>
      <c r="G9" s="22"/>
      <c r="H9" s="22"/>
      <c r="I9" s="24"/>
      <c r="J9" s="25"/>
      <c r="K9" s="22"/>
      <c r="L9" s="22"/>
      <c r="M9" s="23"/>
      <c r="N9" s="23"/>
      <c r="O9" s="23"/>
      <c r="P9" s="22"/>
      <c r="Q9" s="22"/>
      <c r="R9" s="22"/>
      <c r="S9" s="24"/>
      <c r="T9" s="24"/>
      <c r="U9" s="24"/>
      <c r="V9" s="22"/>
      <c r="W9" s="22"/>
      <c r="X9" s="22"/>
      <c r="Y9" s="24"/>
      <c r="Z9" s="24"/>
      <c r="AA9" s="24"/>
      <c r="AB9" s="19" t="str">
        <f aca="false">IF(B9="","",IF(E9="Y",1,0)+IF(H9="Y",1,0)+IF(K9="Y",1,0)+IF(AND(O9&lt;&gt;"",O9&gt;=0),1,0))</f>
        <v/>
      </c>
      <c r="AC9" s="19" t="str">
        <f aca="false">IF(B9="","",IF(Q9="Y",1,0)+IF(R9="Y",1,0)+IF(AND(S9&lt;&gt;"",S9=0),1,0)+IF(AND(T9&lt;&gt;"",T9&gt;=0.8),1,0)+IF(AND(U9&lt;&gt;"",U9&lt;1),1,0)+IF(AND(V9&lt;&gt;"",V9&gt;=7),1,0)+IF(W9&lt;&gt;"",1,0)+IF(X9="Y",1,0))</f>
        <v/>
      </c>
      <c r="AD9" s="19" t="str">
        <f aca="false">IF(B9="","",IF(AC9=8,"PASS","FAIL"))</f>
        <v/>
      </c>
      <c r="AE9" s="19" t="str">
        <f aca="false">IF(OR(B9="",Y9=""),"",COUNTIFS($Y$3:$Y$52,"&gt;"&amp;Y9,$B$3:$B$52,"&lt;&gt;")+1)</f>
        <v/>
      </c>
      <c r="AF9" s="19" t="str">
        <f aca="false">IF(OR(B9="",Z9=""),"",COUNTIFS($Z$3:$Z$52,"&lt;"&amp;Z9,$B$3:$B$52,"&lt;&gt;")+1)</f>
        <v/>
      </c>
      <c r="AG9" s="20" t="str">
        <f aca="false">IF(B9="","",IF(AD9="FAIL","REJECT",IF(AB9&gt;=3,"SHORTLIST","REVIEW")))</f>
        <v/>
      </c>
    </row>
    <row r="10" customFormat="false" ht="15" hidden="false" customHeight="false" outlineLevel="0" collapsed="false">
      <c r="A10" s="21" t="n">
        <v>7</v>
      </c>
      <c r="B10" s="22"/>
      <c r="C10" s="22"/>
      <c r="D10" s="23"/>
      <c r="E10" s="22"/>
      <c r="F10" s="22"/>
      <c r="G10" s="22"/>
      <c r="H10" s="22"/>
      <c r="I10" s="24"/>
      <c r="J10" s="25"/>
      <c r="K10" s="22"/>
      <c r="L10" s="22"/>
      <c r="M10" s="23"/>
      <c r="N10" s="23"/>
      <c r="O10" s="23"/>
      <c r="P10" s="22"/>
      <c r="Q10" s="22"/>
      <c r="R10" s="22"/>
      <c r="S10" s="24"/>
      <c r="T10" s="24"/>
      <c r="U10" s="24"/>
      <c r="V10" s="22"/>
      <c r="W10" s="22"/>
      <c r="X10" s="22"/>
      <c r="Y10" s="24"/>
      <c r="Z10" s="24"/>
      <c r="AA10" s="24"/>
      <c r="AB10" s="19" t="str">
        <f aca="false">IF(B10="","",IF(E10="Y",1,0)+IF(H10="Y",1,0)+IF(K10="Y",1,0)+IF(AND(O10&lt;&gt;"",O10&gt;=0),1,0))</f>
        <v/>
      </c>
      <c r="AC10" s="19" t="str">
        <f aca="false">IF(B10="","",IF(Q10="Y",1,0)+IF(R10="Y",1,0)+IF(AND(S10&lt;&gt;"",S10=0),1,0)+IF(AND(T10&lt;&gt;"",T10&gt;=0.8),1,0)+IF(AND(U10&lt;&gt;"",U10&lt;1),1,0)+IF(AND(V10&lt;&gt;"",V10&gt;=7),1,0)+IF(W10&lt;&gt;"",1,0)+IF(X10="Y",1,0))</f>
        <v/>
      </c>
      <c r="AD10" s="19" t="str">
        <f aca="false">IF(B10="","",IF(AC10=8,"PASS","FAIL"))</f>
        <v/>
      </c>
      <c r="AE10" s="19" t="str">
        <f aca="false">IF(OR(B10="",Y10=""),"",COUNTIFS($Y$3:$Y$52,"&gt;"&amp;Y10,$B$3:$B$52,"&lt;&gt;")+1)</f>
        <v/>
      </c>
      <c r="AF10" s="19" t="str">
        <f aca="false">IF(OR(B10="",Z10=""),"",COUNTIFS($Z$3:$Z$52,"&lt;"&amp;Z10,$B$3:$B$52,"&lt;&gt;")+1)</f>
        <v/>
      </c>
      <c r="AG10" s="20" t="str">
        <f aca="false">IF(B10="","",IF(AD10="FAIL","REJECT",IF(AB10&gt;=3,"SHORTLIST","REVIEW")))</f>
        <v/>
      </c>
    </row>
    <row r="11" customFormat="false" ht="15" hidden="false" customHeight="false" outlineLevel="0" collapsed="false">
      <c r="A11" s="21" t="n">
        <v>8</v>
      </c>
      <c r="B11" s="22"/>
      <c r="C11" s="22"/>
      <c r="D11" s="23"/>
      <c r="E11" s="22"/>
      <c r="F11" s="22"/>
      <c r="G11" s="22"/>
      <c r="H11" s="22"/>
      <c r="I11" s="24"/>
      <c r="J11" s="25"/>
      <c r="K11" s="22"/>
      <c r="L11" s="22"/>
      <c r="M11" s="23"/>
      <c r="N11" s="23"/>
      <c r="O11" s="23"/>
      <c r="P11" s="22"/>
      <c r="Q11" s="22"/>
      <c r="R11" s="22"/>
      <c r="S11" s="24"/>
      <c r="T11" s="24"/>
      <c r="U11" s="24"/>
      <c r="V11" s="22"/>
      <c r="W11" s="22"/>
      <c r="X11" s="22"/>
      <c r="Y11" s="24"/>
      <c r="Z11" s="24"/>
      <c r="AA11" s="24"/>
      <c r="AB11" s="19" t="str">
        <f aca="false">IF(B11="","",IF(E11="Y",1,0)+IF(H11="Y",1,0)+IF(K11="Y",1,0)+IF(AND(O11&lt;&gt;"",O11&gt;=0),1,0))</f>
        <v/>
      </c>
      <c r="AC11" s="19" t="str">
        <f aca="false">IF(B11="","",IF(Q11="Y",1,0)+IF(R11="Y",1,0)+IF(AND(S11&lt;&gt;"",S11=0),1,0)+IF(AND(T11&lt;&gt;"",T11&gt;=0.8),1,0)+IF(AND(U11&lt;&gt;"",U11&lt;1),1,0)+IF(AND(V11&lt;&gt;"",V11&gt;=7),1,0)+IF(W11&lt;&gt;"",1,0)+IF(X11="Y",1,0))</f>
        <v/>
      </c>
      <c r="AD11" s="19" t="str">
        <f aca="false">IF(B11="","",IF(AC11=8,"PASS","FAIL"))</f>
        <v/>
      </c>
      <c r="AE11" s="19" t="str">
        <f aca="false">IF(OR(B11="",Y11=""),"",COUNTIFS($Y$3:$Y$52,"&gt;"&amp;Y11,$B$3:$B$52,"&lt;&gt;")+1)</f>
        <v/>
      </c>
      <c r="AF11" s="19" t="str">
        <f aca="false">IF(OR(B11="",Z11=""),"",COUNTIFS($Z$3:$Z$52,"&lt;"&amp;Z11,$B$3:$B$52,"&lt;&gt;")+1)</f>
        <v/>
      </c>
      <c r="AG11" s="20" t="str">
        <f aca="false">IF(B11="","",IF(AD11="FAIL","REJECT",IF(AB11&gt;=3,"SHORTLIST","REVIEW")))</f>
        <v/>
      </c>
    </row>
    <row r="12" customFormat="false" ht="15" hidden="false" customHeight="false" outlineLevel="0" collapsed="false">
      <c r="A12" s="21" t="n">
        <v>9</v>
      </c>
      <c r="B12" s="22"/>
      <c r="C12" s="22"/>
      <c r="D12" s="23"/>
      <c r="E12" s="22"/>
      <c r="F12" s="22"/>
      <c r="G12" s="22"/>
      <c r="H12" s="22"/>
      <c r="I12" s="24"/>
      <c r="J12" s="25"/>
      <c r="K12" s="22"/>
      <c r="L12" s="22"/>
      <c r="M12" s="23"/>
      <c r="N12" s="23"/>
      <c r="O12" s="23"/>
      <c r="P12" s="22"/>
      <c r="Q12" s="22"/>
      <c r="R12" s="22"/>
      <c r="S12" s="24"/>
      <c r="T12" s="24"/>
      <c r="U12" s="24"/>
      <c r="V12" s="22"/>
      <c r="W12" s="22"/>
      <c r="X12" s="22"/>
      <c r="Y12" s="24"/>
      <c r="Z12" s="24"/>
      <c r="AA12" s="24"/>
      <c r="AB12" s="19" t="str">
        <f aca="false">IF(B12="","",IF(E12="Y",1,0)+IF(H12="Y",1,0)+IF(K12="Y",1,0)+IF(AND(O12&lt;&gt;"",O12&gt;=0),1,0))</f>
        <v/>
      </c>
      <c r="AC12" s="19" t="str">
        <f aca="false">IF(B12="","",IF(Q12="Y",1,0)+IF(R12="Y",1,0)+IF(AND(S12&lt;&gt;"",S12=0),1,0)+IF(AND(T12&lt;&gt;"",T12&gt;=0.8),1,0)+IF(AND(U12&lt;&gt;"",U12&lt;1),1,0)+IF(AND(V12&lt;&gt;"",V12&gt;=7),1,0)+IF(W12&lt;&gt;"",1,0)+IF(X12="Y",1,0))</f>
        <v/>
      </c>
      <c r="AD12" s="19" t="str">
        <f aca="false">IF(B12="","",IF(AC12=8,"PASS","FAIL"))</f>
        <v/>
      </c>
      <c r="AE12" s="19" t="str">
        <f aca="false">IF(OR(B12="",Y12=""),"",COUNTIFS($Y$3:$Y$52,"&gt;"&amp;Y12,$B$3:$B$52,"&lt;&gt;")+1)</f>
        <v/>
      </c>
      <c r="AF12" s="19" t="str">
        <f aca="false">IF(OR(B12="",Z12=""),"",COUNTIFS($Z$3:$Z$52,"&lt;"&amp;Z12,$B$3:$B$52,"&lt;&gt;")+1)</f>
        <v/>
      </c>
      <c r="AG12" s="20" t="str">
        <f aca="false">IF(B12="","",IF(AD12="FAIL","REJECT",IF(AB12&gt;=3,"SHORTLIST","REVIEW")))</f>
        <v/>
      </c>
    </row>
    <row r="13" customFormat="false" ht="15" hidden="false" customHeight="false" outlineLevel="0" collapsed="false">
      <c r="A13" s="21" t="n">
        <v>10</v>
      </c>
      <c r="B13" s="22"/>
      <c r="C13" s="22"/>
      <c r="D13" s="23"/>
      <c r="E13" s="22"/>
      <c r="F13" s="22"/>
      <c r="G13" s="22"/>
      <c r="H13" s="22"/>
      <c r="I13" s="24"/>
      <c r="J13" s="25"/>
      <c r="K13" s="22"/>
      <c r="L13" s="22"/>
      <c r="M13" s="23"/>
      <c r="N13" s="23"/>
      <c r="O13" s="23"/>
      <c r="P13" s="22"/>
      <c r="Q13" s="22"/>
      <c r="R13" s="22"/>
      <c r="S13" s="24"/>
      <c r="T13" s="24"/>
      <c r="U13" s="24"/>
      <c r="V13" s="22"/>
      <c r="W13" s="22"/>
      <c r="X13" s="22"/>
      <c r="Y13" s="24"/>
      <c r="Z13" s="24"/>
      <c r="AA13" s="24"/>
      <c r="AB13" s="19" t="str">
        <f aca="false">IF(B13="","",IF(E13="Y",1,0)+IF(H13="Y",1,0)+IF(K13="Y",1,0)+IF(AND(O13&lt;&gt;"",O13&gt;=0),1,0))</f>
        <v/>
      </c>
      <c r="AC13" s="19" t="str">
        <f aca="false">IF(B13="","",IF(Q13="Y",1,0)+IF(R13="Y",1,0)+IF(AND(S13&lt;&gt;"",S13=0),1,0)+IF(AND(T13&lt;&gt;"",T13&gt;=0.8),1,0)+IF(AND(U13&lt;&gt;"",U13&lt;1),1,0)+IF(AND(V13&lt;&gt;"",V13&gt;=7),1,0)+IF(W13&lt;&gt;"",1,0)+IF(X13="Y",1,0))</f>
        <v/>
      </c>
      <c r="AD13" s="19" t="str">
        <f aca="false">IF(B13="","",IF(AC13=8,"PASS","FAIL"))</f>
        <v/>
      </c>
      <c r="AE13" s="19" t="str">
        <f aca="false">IF(OR(B13="",Y13=""),"",COUNTIFS($Y$3:$Y$52,"&gt;"&amp;Y13,$B$3:$B$52,"&lt;&gt;")+1)</f>
        <v/>
      </c>
      <c r="AF13" s="19" t="str">
        <f aca="false">IF(OR(B13="",Z13=""),"",COUNTIFS($Z$3:$Z$52,"&lt;"&amp;Z13,$B$3:$B$52,"&lt;&gt;")+1)</f>
        <v/>
      </c>
      <c r="AG13" s="20" t="str">
        <f aca="false">IF(B13="","",IF(AD13="FAIL","REJECT",IF(AB13&gt;=3,"SHORTLIST","REVIEW")))</f>
        <v/>
      </c>
    </row>
    <row r="14" customFormat="false" ht="15" hidden="false" customHeight="false" outlineLevel="0" collapsed="false">
      <c r="A14" s="21" t="n">
        <v>11</v>
      </c>
      <c r="B14" s="22"/>
      <c r="C14" s="22"/>
      <c r="D14" s="23"/>
      <c r="E14" s="22"/>
      <c r="F14" s="22"/>
      <c r="G14" s="22"/>
      <c r="H14" s="22"/>
      <c r="I14" s="24"/>
      <c r="J14" s="25"/>
      <c r="K14" s="22"/>
      <c r="L14" s="22"/>
      <c r="M14" s="23"/>
      <c r="N14" s="23"/>
      <c r="O14" s="23"/>
      <c r="P14" s="22"/>
      <c r="Q14" s="22"/>
      <c r="R14" s="22"/>
      <c r="S14" s="24"/>
      <c r="T14" s="24"/>
      <c r="U14" s="24"/>
      <c r="V14" s="22"/>
      <c r="W14" s="22"/>
      <c r="X14" s="22"/>
      <c r="Y14" s="24"/>
      <c r="Z14" s="24"/>
      <c r="AA14" s="24"/>
      <c r="AB14" s="19" t="str">
        <f aca="false">IF(B14="","",IF(E14="Y",1,0)+IF(H14="Y",1,0)+IF(K14="Y",1,0)+IF(AND(O14&lt;&gt;"",O14&gt;=0),1,0))</f>
        <v/>
      </c>
      <c r="AC14" s="19" t="str">
        <f aca="false">IF(B14="","",IF(Q14="Y",1,0)+IF(R14="Y",1,0)+IF(AND(S14&lt;&gt;"",S14=0),1,0)+IF(AND(T14&lt;&gt;"",T14&gt;=0.8),1,0)+IF(AND(U14&lt;&gt;"",U14&lt;1),1,0)+IF(AND(V14&lt;&gt;"",V14&gt;=7),1,0)+IF(W14&lt;&gt;"",1,0)+IF(X14="Y",1,0))</f>
        <v/>
      </c>
      <c r="AD14" s="19" t="str">
        <f aca="false">IF(B14="","",IF(AC14=8,"PASS","FAIL"))</f>
        <v/>
      </c>
      <c r="AE14" s="19" t="str">
        <f aca="false">IF(OR(B14="",Y14=""),"",COUNTIFS($Y$3:$Y$52,"&gt;"&amp;Y14,$B$3:$B$52,"&lt;&gt;")+1)</f>
        <v/>
      </c>
      <c r="AF14" s="19" t="str">
        <f aca="false">IF(OR(B14="",Z14=""),"",COUNTIFS($Z$3:$Z$52,"&lt;"&amp;Z14,$B$3:$B$52,"&lt;&gt;")+1)</f>
        <v/>
      </c>
      <c r="AG14" s="20" t="str">
        <f aca="false">IF(B14="","",IF(AD14="FAIL","REJECT",IF(AB14&gt;=3,"SHORTLIST","REVIEW")))</f>
        <v/>
      </c>
    </row>
    <row r="15" customFormat="false" ht="15" hidden="false" customHeight="false" outlineLevel="0" collapsed="false">
      <c r="A15" s="21" t="n">
        <v>12</v>
      </c>
      <c r="B15" s="22"/>
      <c r="C15" s="22"/>
      <c r="D15" s="23"/>
      <c r="E15" s="22"/>
      <c r="F15" s="22"/>
      <c r="G15" s="22"/>
      <c r="H15" s="22"/>
      <c r="I15" s="24"/>
      <c r="J15" s="25"/>
      <c r="K15" s="22"/>
      <c r="L15" s="22"/>
      <c r="M15" s="23"/>
      <c r="N15" s="23"/>
      <c r="O15" s="23"/>
      <c r="P15" s="22"/>
      <c r="Q15" s="22"/>
      <c r="R15" s="22"/>
      <c r="S15" s="24"/>
      <c r="T15" s="24"/>
      <c r="U15" s="24"/>
      <c r="V15" s="22"/>
      <c r="W15" s="22"/>
      <c r="X15" s="22"/>
      <c r="Y15" s="24"/>
      <c r="Z15" s="24"/>
      <c r="AA15" s="24"/>
      <c r="AB15" s="19" t="str">
        <f aca="false">IF(B15="","",IF(E15="Y",1,0)+IF(H15="Y",1,0)+IF(K15="Y",1,0)+IF(AND(O15&lt;&gt;"",O15&gt;=0),1,0))</f>
        <v/>
      </c>
      <c r="AC15" s="19" t="str">
        <f aca="false">IF(B15="","",IF(Q15="Y",1,0)+IF(R15="Y",1,0)+IF(AND(S15&lt;&gt;"",S15=0),1,0)+IF(AND(T15&lt;&gt;"",T15&gt;=0.8),1,0)+IF(AND(U15&lt;&gt;"",U15&lt;1),1,0)+IF(AND(V15&lt;&gt;"",V15&gt;=7),1,0)+IF(W15&lt;&gt;"",1,0)+IF(X15="Y",1,0))</f>
        <v/>
      </c>
      <c r="AD15" s="19" t="str">
        <f aca="false">IF(B15="","",IF(AC15=8,"PASS","FAIL"))</f>
        <v/>
      </c>
      <c r="AE15" s="19" t="str">
        <f aca="false">IF(OR(B15="",Y15=""),"",COUNTIFS($Y$3:$Y$52,"&gt;"&amp;Y15,$B$3:$B$52,"&lt;&gt;")+1)</f>
        <v/>
      </c>
      <c r="AF15" s="19" t="str">
        <f aca="false">IF(OR(B15="",Z15=""),"",COUNTIFS($Z$3:$Z$52,"&lt;"&amp;Z15,$B$3:$B$52,"&lt;&gt;")+1)</f>
        <v/>
      </c>
      <c r="AG15" s="20" t="str">
        <f aca="false">IF(B15="","",IF(AD15="FAIL","REJECT",IF(AB15&gt;=3,"SHORTLIST","REVIEW")))</f>
        <v/>
      </c>
    </row>
    <row r="16" customFormat="false" ht="15" hidden="false" customHeight="false" outlineLevel="0" collapsed="false">
      <c r="A16" s="21" t="n">
        <v>13</v>
      </c>
      <c r="B16" s="22"/>
      <c r="C16" s="22"/>
      <c r="D16" s="23"/>
      <c r="E16" s="22"/>
      <c r="F16" s="22"/>
      <c r="G16" s="22"/>
      <c r="H16" s="22"/>
      <c r="I16" s="24"/>
      <c r="J16" s="25"/>
      <c r="K16" s="22"/>
      <c r="L16" s="22"/>
      <c r="M16" s="23"/>
      <c r="N16" s="23"/>
      <c r="O16" s="23"/>
      <c r="P16" s="22"/>
      <c r="Q16" s="22"/>
      <c r="R16" s="22"/>
      <c r="S16" s="24"/>
      <c r="T16" s="24"/>
      <c r="U16" s="24"/>
      <c r="V16" s="22"/>
      <c r="W16" s="22"/>
      <c r="X16" s="22"/>
      <c r="Y16" s="24"/>
      <c r="Z16" s="24"/>
      <c r="AA16" s="24"/>
      <c r="AB16" s="19" t="str">
        <f aca="false">IF(B16="","",IF(E16="Y",1,0)+IF(H16="Y",1,0)+IF(K16="Y",1,0)+IF(AND(O16&lt;&gt;"",O16&gt;=0),1,0))</f>
        <v/>
      </c>
      <c r="AC16" s="19" t="str">
        <f aca="false">IF(B16="","",IF(Q16="Y",1,0)+IF(R16="Y",1,0)+IF(AND(S16&lt;&gt;"",S16=0),1,0)+IF(AND(T16&lt;&gt;"",T16&gt;=0.8),1,0)+IF(AND(U16&lt;&gt;"",U16&lt;1),1,0)+IF(AND(V16&lt;&gt;"",V16&gt;=7),1,0)+IF(W16&lt;&gt;"",1,0)+IF(X16="Y",1,0))</f>
        <v/>
      </c>
      <c r="AD16" s="19" t="str">
        <f aca="false">IF(B16="","",IF(AC16=8,"PASS","FAIL"))</f>
        <v/>
      </c>
      <c r="AE16" s="19" t="str">
        <f aca="false">IF(OR(B16="",Y16=""),"",COUNTIFS($Y$3:$Y$52,"&gt;"&amp;Y16,$B$3:$B$52,"&lt;&gt;")+1)</f>
        <v/>
      </c>
      <c r="AF16" s="19" t="str">
        <f aca="false">IF(OR(B16="",Z16=""),"",COUNTIFS($Z$3:$Z$52,"&lt;"&amp;Z16,$B$3:$B$52,"&lt;&gt;")+1)</f>
        <v/>
      </c>
      <c r="AG16" s="20" t="str">
        <f aca="false">IF(B16="","",IF(AD16="FAIL","REJECT",IF(AB16&gt;=3,"SHORTLIST","REVIEW")))</f>
        <v/>
      </c>
    </row>
    <row r="17" customFormat="false" ht="15" hidden="false" customHeight="false" outlineLevel="0" collapsed="false">
      <c r="A17" s="21" t="n">
        <v>14</v>
      </c>
      <c r="B17" s="22"/>
      <c r="C17" s="22"/>
      <c r="D17" s="23"/>
      <c r="E17" s="22"/>
      <c r="F17" s="22"/>
      <c r="G17" s="22"/>
      <c r="H17" s="22"/>
      <c r="I17" s="24"/>
      <c r="J17" s="25"/>
      <c r="K17" s="22"/>
      <c r="L17" s="22"/>
      <c r="M17" s="23"/>
      <c r="N17" s="23"/>
      <c r="O17" s="23"/>
      <c r="P17" s="22"/>
      <c r="Q17" s="22"/>
      <c r="R17" s="22"/>
      <c r="S17" s="24"/>
      <c r="T17" s="24"/>
      <c r="U17" s="24"/>
      <c r="V17" s="22"/>
      <c r="W17" s="22"/>
      <c r="X17" s="22"/>
      <c r="Y17" s="24"/>
      <c r="Z17" s="24"/>
      <c r="AA17" s="24"/>
      <c r="AB17" s="19" t="str">
        <f aca="false">IF(B17="","",IF(E17="Y",1,0)+IF(H17="Y",1,0)+IF(K17="Y",1,0)+IF(AND(O17&lt;&gt;"",O17&gt;=0),1,0))</f>
        <v/>
      </c>
      <c r="AC17" s="19" t="str">
        <f aca="false">IF(B17="","",IF(Q17="Y",1,0)+IF(R17="Y",1,0)+IF(AND(S17&lt;&gt;"",S17=0),1,0)+IF(AND(T17&lt;&gt;"",T17&gt;=0.8),1,0)+IF(AND(U17&lt;&gt;"",U17&lt;1),1,0)+IF(AND(V17&lt;&gt;"",V17&gt;=7),1,0)+IF(W17&lt;&gt;"",1,0)+IF(X17="Y",1,0))</f>
        <v/>
      </c>
      <c r="AD17" s="19" t="str">
        <f aca="false">IF(B17="","",IF(AC17=8,"PASS","FAIL"))</f>
        <v/>
      </c>
      <c r="AE17" s="19" t="str">
        <f aca="false">IF(OR(B17="",Y17=""),"",COUNTIFS($Y$3:$Y$52,"&gt;"&amp;Y17,$B$3:$B$52,"&lt;&gt;")+1)</f>
        <v/>
      </c>
      <c r="AF17" s="19" t="str">
        <f aca="false">IF(OR(B17="",Z17=""),"",COUNTIFS($Z$3:$Z$52,"&lt;"&amp;Z17,$B$3:$B$52,"&lt;&gt;")+1)</f>
        <v/>
      </c>
      <c r="AG17" s="20" t="str">
        <f aca="false">IF(B17="","",IF(AD17="FAIL","REJECT",IF(AB17&gt;=3,"SHORTLIST","REVIEW")))</f>
        <v/>
      </c>
    </row>
    <row r="18" customFormat="false" ht="15" hidden="false" customHeight="false" outlineLevel="0" collapsed="false">
      <c r="A18" s="21" t="n">
        <v>15</v>
      </c>
      <c r="B18" s="22"/>
      <c r="C18" s="22"/>
      <c r="D18" s="23"/>
      <c r="E18" s="22"/>
      <c r="F18" s="22"/>
      <c r="G18" s="22"/>
      <c r="H18" s="22"/>
      <c r="I18" s="24"/>
      <c r="J18" s="25"/>
      <c r="K18" s="22"/>
      <c r="L18" s="22"/>
      <c r="M18" s="23"/>
      <c r="N18" s="23"/>
      <c r="O18" s="23"/>
      <c r="P18" s="22"/>
      <c r="Q18" s="22"/>
      <c r="R18" s="22"/>
      <c r="S18" s="24"/>
      <c r="T18" s="24"/>
      <c r="U18" s="24"/>
      <c r="V18" s="22"/>
      <c r="W18" s="22"/>
      <c r="X18" s="22"/>
      <c r="Y18" s="24"/>
      <c r="Z18" s="24"/>
      <c r="AA18" s="24"/>
      <c r="AB18" s="19" t="str">
        <f aca="false">IF(B18="","",IF(E18="Y",1,0)+IF(H18="Y",1,0)+IF(K18="Y",1,0)+IF(AND(O18&lt;&gt;"",O18&gt;=0),1,0))</f>
        <v/>
      </c>
      <c r="AC18" s="19" t="str">
        <f aca="false">IF(B18="","",IF(Q18="Y",1,0)+IF(R18="Y",1,0)+IF(AND(S18&lt;&gt;"",S18=0),1,0)+IF(AND(T18&lt;&gt;"",T18&gt;=0.8),1,0)+IF(AND(U18&lt;&gt;"",U18&lt;1),1,0)+IF(AND(V18&lt;&gt;"",V18&gt;=7),1,0)+IF(W18&lt;&gt;"",1,0)+IF(X18="Y",1,0))</f>
        <v/>
      </c>
      <c r="AD18" s="19" t="str">
        <f aca="false">IF(B18="","",IF(AC18=8,"PASS","FAIL"))</f>
        <v/>
      </c>
      <c r="AE18" s="19" t="str">
        <f aca="false">IF(OR(B18="",Y18=""),"",COUNTIFS($Y$3:$Y$52,"&gt;"&amp;Y18,$B$3:$B$52,"&lt;&gt;")+1)</f>
        <v/>
      </c>
      <c r="AF18" s="19" t="str">
        <f aca="false">IF(OR(B18="",Z18=""),"",COUNTIFS($Z$3:$Z$52,"&lt;"&amp;Z18,$B$3:$B$52,"&lt;&gt;")+1)</f>
        <v/>
      </c>
      <c r="AG18" s="20" t="str">
        <f aca="false">IF(B18="","",IF(AD18="FAIL","REJECT",IF(AB18&gt;=3,"SHORTLIST","REVIEW")))</f>
        <v/>
      </c>
    </row>
    <row r="19" customFormat="false" ht="15" hidden="false" customHeight="false" outlineLevel="0" collapsed="false">
      <c r="A19" s="21" t="n">
        <v>16</v>
      </c>
      <c r="B19" s="22"/>
      <c r="C19" s="22"/>
      <c r="D19" s="23"/>
      <c r="E19" s="22"/>
      <c r="F19" s="22"/>
      <c r="G19" s="22"/>
      <c r="H19" s="22"/>
      <c r="I19" s="24"/>
      <c r="J19" s="25"/>
      <c r="K19" s="22"/>
      <c r="L19" s="22"/>
      <c r="M19" s="23"/>
      <c r="N19" s="23"/>
      <c r="O19" s="23"/>
      <c r="P19" s="22"/>
      <c r="Q19" s="22"/>
      <c r="R19" s="22"/>
      <c r="S19" s="24"/>
      <c r="T19" s="24"/>
      <c r="U19" s="24"/>
      <c r="V19" s="22"/>
      <c r="W19" s="22"/>
      <c r="X19" s="22"/>
      <c r="Y19" s="24"/>
      <c r="Z19" s="24"/>
      <c r="AA19" s="24"/>
      <c r="AB19" s="19" t="str">
        <f aca="false">IF(B19="","",IF(E19="Y",1,0)+IF(H19="Y",1,0)+IF(K19="Y",1,0)+IF(AND(O19&lt;&gt;"",O19&gt;=0),1,0))</f>
        <v/>
      </c>
      <c r="AC19" s="19" t="str">
        <f aca="false">IF(B19="","",IF(Q19="Y",1,0)+IF(R19="Y",1,0)+IF(AND(S19&lt;&gt;"",S19=0),1,0)+IF(AND(T19&lt;&gt;"",T19&gt;=0.8),1,0)+IF(AND(U19&lt;&gt;"",U19&lt;1),1,0)+IF(AND(V19&lt;&gt;"",V19&gt;=7),1,0)+IF(W19&lt;&gt;"",1,0)+IF(X19="Y",1,0))</f>
        <v/>
      </c>
      <c r="AD19" s="19" t="str">
        <f aca="false">IF(B19="","",IF(AC19=8,"PASS","FAIL"))</f>
        <v/>
      </c>
      <c r="AE19" s="19" t="str">
        <f aca="false">IF(OR(B19="",Y19=""),"",COUNTIFS($Y$3:$Y$52,"&gt;"&amp;Y19,$B$3:$B$52,"&lt;&gt;")+1)</f>
        <v/>
      </c>
      <c r="AF19" s="19" t="str">
        <f aca="false">IF(OR(B19="",Z19=""),"",COUNTIFS($Z$3:$Z$52,"&lt;"&amp;Z19,$B$3:$B$52,"&lt;&gt;")+1)</f>
        <v/>
      </c>
      <c r="AG19" s="20" t="str">
        <f aca="false">IF(B19="","",IF(AD19="FAIL","REJECT",IF(AB19&gt;=3,"SHORTLIST","REVIEW")))</f>
        <v/>
      </c>
    </row>
    <row r="20" customFormat="false" ht="15" hidden="false" customHeight="false" outlineLevel="0" collapsed="false">
      <c r="A20" s="21" t="n">
        <v>17</v>
      </c>
      <c r="B20" s="22"/>
      <c r="C20" s="22"/>
      <c r="D20" s="23"/>
      <c r="E20" s="22"/>
      <c r="F20" s="22"/>
      <c r="G20" s="22"/>
      <c r="H20" s="22"/>
      <c r="I20" s="24"/>
      <c r="J20" s="25"/>
      <c r="K20" s="22"/>
      <c r="L20" s="22"/>
      <c r="M20" s="23"/>
      <c r="N20" s="23"/>
      <c r="O20" s="23"/>
      <c r="P20" s="22"/>
      <c r="Q20" s="22"/>
      <c r="R20" s="22"/>
      <c r="S20" s="24"/>
      <c r="T20" s="24"/>
      <c r="U20" s="24"/>
      <c r="V20" s="22"/>
      <c r="W20" s="22"/>
      <c r="X20" s="22"/>
      <c r="Y20" s="24"/>
      <c r="Z20" s="24"/>
      <c r="AA20" s="24"/>
      <c r="AB20" s="19" t="str">
        <f aca="false">IF(B20="","",IF(E20="Y",1,0)+IF(H20="Y",1,0)+IF(K20="Y",1,0)+IF(AND(O20&lt;&gt;"",O20&gt;=0),1,0))</f>
        <v/>
      </c>
      <c r="AC20" s="19" t="str">
        <f aca="false">IF(B20="","",IF(Q20="Y",1,0)+IF(R20="Y",1,0)+IF(AND(S20&lt;&gt;"",S20=0),1,0)+IF(AND(T20&lt;&gt;"",T20&gt;=0.8),1,0)+IF(AND(U20&lt;&gt;"",U20&lt;1),1,0)+IF(AND(V20&lt;&gt;"",V20&gt;=7),1,0)+IF(W20&lt;&gt;"",1,0)+IF(X20="Y",1,0))</f>
        <v/>
      </c>
      <c r="AD20" s="19" t="str">
        <f aca="false">IF(B20="","",IF(AC20=8,"PASS","FAIL"))</f>
        <v/>
      </c>
      <c r="AE20" s="19" t="str">
        <f aca="false">IF(OR(B20="",Y20=""),"",COUNTIFS($Y$3:$Y$52,"&gt;"&amp;Y20,$B$3:$B$52,"&lt;&gt;")+1)</f>
        <v/>
      </c>
      <c r="AF20" s="19" t="str">
        <f aca="false">IF(OR(B20="",Z20=""),"",COUNTIFS($Z$3:$Z$52,"&lt;"&amp;Z20,$B$3:$B$52,"&lt;&gt;")+1)</f>
        <v/>
      </c>
      <c r="AG20" s="20" t="str">
        <f aca="false">IF(B20="","",IF(AD20="FAIL","REJECT",IF(AB20&gt;=3,"SHORTLIST","REVIEW")))</f>
        <v/>
      </c>
    </row>
    <row r="21" customFormat="false" ht="15" hidden="false" customHeight="false" outlineLevel="0" collapsed="false">
      <c r="A21" s="21" t="n">
        <v>18</v>
      </c>
      <c r="B21" s="22"/>
      <c r="C21" s="22"/>
      <c r="D21" s="23"/>
      <c r="E21" s="22"/>
      <c r="F21" s="22"/>
      <c r="G21" s="22"/>
      <c r="H21" s="22"/>
      <c r="I21" s="24"/>
      <c r="J21" s="25"/>
      <c r="K21" s="22"/>
      <c r="L21" s="22"/>
      <c r="M21" s="23"/>
      <c r="N21" s="23"/>
      <c r="O21" s="23"/>
      <c r="P21" s="22"/>
      <c r="Q21" s="22"/>
      <c r="R21" s="22"/>
      <c r="S21" s="24"/>
      <c r="T21" s="24"/>
      <c r="U21" s="24"/>
      <c r="V21" s="22"/>
      <c r="W21" s="22"/>
      <c r="X21" s="22"/>
      <c r="Y21" s="24"/>
      <c r="Z21" s="24"/>
      <c r="AA21" s="24"/>
      <c r="AB21" s="19" t="str">
        <f aca="false">IF(B21="","",IF(E21="Y",1,0)+IF(H21="Y",1,0)+IF(K21="Y",1,0)+IF(AND(O21&lt;&gt;"",O21&gt;=0),1,0))</f>
        <v/>
      </c>
      <c r="AC21" s="19" t="str">
        <f aca="false">IF(B21="","",IF(Q21="Y",1,0)+IF(R21="Y",1,0)+IF(AND(S21&lt;&gt;"",S21=0),1,0)+IF(AND(T21&lt;&gt;"",T21&gt;=0.8),1,0)+IF(AND(U21&lt;&gt;"",U21&lt;1),1,0)+IF(AND(V21&lt;&gt;"",V21&gt;=7),1,0)+IF(W21&lt;&gt;"",1,0)+IF(X21="Y",1,0))</f>
        <v/>
      </c>
      <c r="AD21" s="19" t="str">
        <f aca="false">IF(B21="","",IF(AC21=8,"PASS","FAIL"))</f>
        <v/>
      </c>
      <c r="AE21" s="19" t="str">
        <f aca="false">IF(OR(B21="",Y21=""),"",COUNTIFS($Y$3:$Y$52,"&gt;"&amp;Y21,$B$3:$B$52,"&lt;&gt;")+1)</f>
        <v/>
      </c>
      <c r="AF21" s="19" t="str">
        <f aca="false">IF(OR(B21="",Z21=""),"",COUNTIFS($Z$3:$Z$52,"&lt;"&amp;Z21,$B$3:$B$52,"&lt;&gt;")+1)</f>
        <v/>
      </c>
      <c r="AG21" s="20" t="str">
        <f aca="false">IF(B21="","",IF(AD21="FAIL","REJECT",IF(AB21&gt;=3,"SHORTLIST","REVIEW")))</f>
        <v/>
      </c>
    </row>
    <row r="22" customFormat="false" ht="15" hidden="false" customHeight="false" outlineLevel="0" collapsed="false">
      <c r="A22" s="21" t="n">
        <v>19</v>
      </c>
      <c r="B22" s="22"/>
      <c r="C22" s="22"/>
      <c r="D22" s="23"/>
      <c r="E22" s="22"/>
      <c r="F22" s="22"/>
      <c r="G22" s="22"/>
      <c r="H22" s="22"/>
      <c r="I22" s="24"/>
      <c r="J22" s="25"/>
      <c r="K22" s="22"/>
      <c r="L22" s="22"/>
      <c r="M22" s="23"/>
      <c r="N22" s="23"/>
      <c r="O22" s="23"/>
      <c r="P22" s="22"/>
      <c r="Q22" s="22"/>
      <c r="R22" s="22"/>
      <c r="S22" s="24"/>
      <c r="T22" s="24"/>
      <c r="U22" s="24"/>
      <c r="V22" s="22"/>
      <c r="W22" s="22"/>
      <c r="X22" s="22"/>
      <c r="Y22" s="24"/>
      <c r="Z22" s="24"/>
      <c r="AA22" s="24"/>
      <c r="AB22" s="19" t="str">
        <f aca="false">IF(B22="","",IF(E22="Y",1,0)+IF(H22="Y",1,0)+IF(K22="Y",1,0)+IF(AND(O22&lt;&gt;"",O22&gt;=0),1,0))</f>
        <v/>
      </c>
      <c r="AC22" s="19" t="str">
        <f aca="false">IF(B22="","",IF(Q22="Y",1,0)+IF(R22="Y",1,0)+IF(AND(S22&lt;&gt;"",S22=0),1,0)+IF(AND(T22&lt;&gt;"",T22&gt;=0.8),1,0)+IF(AND(U22&lt;&gt;"",U22&lt;1),1,0)+IF(AND(V22&lt;&gt;"",V22&gt;=7),1,0)+IF(W22&lt;&gt;"",1,0)+IF(X22="Y",1,0))</f>
        <v/>
      </c>
      <c r="AD22" s="19" t="str">
        <f aca="false">IF(B22="","",IF(AC22=8,"PASS","FAIL"))</f>
        <v/>
      </c>
      <c r="AE22" s="19" t="str">
        <f aca="false">IF(OR(B22="",Y22=""),"",COUNTIFS($Y$3:$Y$52,"&gt;"&amp;Y22,$B$3:$B$52,"&lt;&gt;")+1)</f>
        <v/>
      </c>
      <c r="AF22" s="19" t="str">
        <f aca="false">IF(OR(B22="",Z22=""),"",COUNTIFS($Z$3:$Z$52,"&lt;"&amp;Z22,$B$3:$B$52,"&lt;&gt;")+1)</f>
        <v/>
      </c>
      <c r="AG22" s="20" t="str">
        <f aca="false">IF(B22="","",IF(AD22="FAIL","REJECT",IF(AB22&gt;=3,"SHORTLIST","REVIEW")))</f>
        <v/>
      </c>
    </row>
    <row r="23" customFormat="false" ht="15" hidden="false" customHeight="false" outlineLevel="0" collapsed="false">
      <c r="A23" s="21" t="n">
        <v>20</v>
      </c>
      <c r="B23" s="22"/>
      <c r="C23" s="22"/>
      <c r="D23" s="23"/>
      <c r="E23" s="22"/>
      <c r="F23" s="22"/>
      <c r="G23" s="22"/>
      <c r="H23" s="22"/>
      <c r="I23" s="24"/>
      <c r="J23" s="25"/>
      <c r="K23" s="22"/>
      <c r="L23" s="22"/>
      <c r="M23" s="23"/>
      <c r="N23" s="23"/>
      <c r="O23" s="23"/>
      <c r="P23" s="22"/>
      <c r="Q23" s="22"/>
      <c r="R23" s="22"/>
      <c r="S23" s="24"/>
      <c r="T23" s="24"/>
      <c r="U23" s="24"/>
      <c r="V23" s="22"/>
      <c r="W23" s="22"/>
      <c r="X23" s="22"/>
      <c r="Y23" s="24"/>
      <c r="Z23" s="24"/>
      <c r="AA23" s="24"/>
      <c r="AB23" s="19" t="str">
        <f aca="false">IF(B23="","",IF(E23="Y",1,0)+IF(H23="Y",1,0)+IF(K23="Y",1,0)+IF(AND(O23&lt;&gt;"",O23&gt;=0),1,0))</f>
        <v/>
      </c>
      <c r="AC23" s="19" t="str">
        <f aca="false">IF(B23="","",IF(Q23="Y",1,0)+IF(R23="Y",1,0)+IF(AND(S23&lt;&gt;"",S23=0),1,0)+IF(AND(T23&lt;&gt;"",T23&gt;=0.8),1,0)+IF(AND(U23&lt;&gt;"",U23&lt;1),1,0)+IF(AND(V23&lt;&gt;"",V23&gt;=7),1,0)+IF(W23&lt;&gt;"",1,0)+IF(X23="Y",1,0))</f>
        <v/>
      </c>
      <c r="AD23" s="19" t="str">
        <f aca="false">IF(B23="","",IF(AC23=8,"PASS","FAIL"))</f>
        <v/>
      </c>
      <c r="AE23" s="19" t="str">
        <f aca="false">IF(OR(B23="",Y23=""),"",COUNTIFS($Y$3:$Y$52,"&gt;"&amp;Y23,$B$3:$B$52,"&lt;&gt;")+1)</f>
        <v/>
      </c>
      <c r="AF23" s="19" t="str">
        <f aca="false">IF(OR(B23="",Z23=""),"",COUNTIFS($Z$3:$Z$52,"&lt;"&amp;Z23,$B$3:$B$52,"&lt;&gt;")+1)</f>
        <v/>
      </c>
      <c r="AG23" s="20" t="str">
        <f aca="false">IF(B23="","",IF(AD23="FAIL","REJECT",IF(AB23&gt;=3,"SHORTLIST","REVIEW")))</f>
        <v/>
      </c>
    </row>
    <row r="24" customFormat="false" ht="15" hidden="false" customHeight="false" outlineLevel="0" collapsed="false">
      <c r="A24" s="21" t="n">
        <v>21</v>
      </c>
      <c r="B24" s="22"/>
      <c r="C24" s="22"/>
      <c r="D24" s="23"/>
      <c r="E24" s="22"/>
      <c r="F24" s="22"/>
      <c r="G24" s="22"/>
      <c r="H24" s="22"/>
      <c r="I24" s="24"/>
      <c r="J24" s="25"/>
      <c r="K24" s="22"/>
      <c r="L24" s="22"/>
      <c r="M24" s="23"/>
      <c r="N24" s="23"/>
      <c r="O24" s="23"/>
      <c r="P24" s="22"/>
      <c r="Q24" s="22"/>
      <c r="R24" s="22"/>
      <c r="S24" s="24"/>
      <c r="T24" s="24"/>
      <c r="U24" s="24"/>
      <c r="V24" s="22"/>
      <c r="W24" s="22"/>
      <c r="X24" s="22"/>
      <c r="Y24" s="24"/>
      <c r="Z24" s="24"/>
      <c r="AA24" s="24"/>
      <c r="AB24" s="19" t="str">
        <f aca="false">IF(B24="","",IF(E24="Y",1,0)+IF(H24="Y",1,0)+IF(K24="Y",1,0)+IF(AND(O24&lt;&gt;"",O24&gt;=0),1,0))</f>
        <v/>
      </c>
      <c r="AC24" s="19" t="str">
        <f aca="false">IF(B24="","",IF(Q24="Y",1,0)+IF(R24="Y",1,0)+IF(AND(S24&lt;&gt;"",S24=0),1,0)+IF(AND(T24&lt;&gt;"",T24&gt;=0.8),1,0)+IF(AND(U24&lt;&gt;"",U24&lt;1),1,0)+IF(AND(V24&lt;&gt;"",V24&gt;=7),1,0)+IF(W24&lt;&gt;"",1,0)+IF(X24="Y",1,0))</f>
        <v/>
      </c>
      <c r="AD24" s="19" t="str">
        <f aca="false">IF(B24="","",IF(AC24=8,"PASS","FAIL"))</f>
        <v/>
      </c>
      <c r="AE24" s="19" t="str">
        <f aca="false">IF(OR(B24="",Y24=""),"",COUNTIFS($Y$3:$Y$52,"&gt;"&amp;Y24,$B$3:$B$52,"&lt;&gt;")+1)</f>
        <v/>
      </c>
      <c r="AF24" s="19" t="str">
        <f aca="false">IF(OR(B24="",Z24=""),"",COUNTIFS($Z$3:$Z$52,"&lt;"&amp;Z24,$B$3:$B$52,"&lt;&gt;")+1)</f>
        <v/>
      </c>
      <c r="AG24" s="20" t="str">
        <f aca="false">IF(B24="","",IF(AD24="FAIL","REJECT",IF(AB24&gt;=3,"SHORTLIST","REVIEW")))</f>
        <v/>
      </c>
    </row>
    <row r="25" customFormat="false" ht="15" hidden="false" customHeight="false" outlineLevel="0" collapsed="false">
      <c r="A25" s="21" t="n">
        <v>22</v>
      </c>
      <c r="B25" s="22"/>
      <c r="C25" s="22"/>
      <c r="D25" s="23"/>
      <c r="E25" s="22"/>
      <c r="F25" s="22"/>
      <c r="G25" s="22"/>
      <c r="H25" s="22"/>
      <c r="I25" s="24"/>
      <c r="J25" s="25"/>
      <c r="K25" s="22"/>
      <c r="L25" s="22"/>
      <c r="M25" s="23"/>
      <c r="N25" s="23"/>
      <c r="O25" s="23"/>
      <c r="P25" s="22"/>
      <c r="Q25" s="22"/>
      <c r="R25" s="22"/>
      <c r="S25" s="24"/>
      <c r="T25" s="24"/>
      <c r="U25" s="24"/>
      <c r="V25" s="22"/>
      <c r="W25" s="22"/>
      <c r="X25" s="22"/>
      <c r="Y25" s="24"/>
      <c r="Z25" s="24"/>
      <c r="AA25" s="24"/>
      <c r="AB25" s="19" t="str">
        <f aca="false">IF(B25="","",IF(E25="Y",1,0)+IF(H25="Y",1,0)+IF(K25="Y",1,0)+IF(AND(O25&lt;&gt;"",O25&gt;=0),1,0))</f>
        <v/>
      </c>
      <c r="AC25" s="19" t="str">
        <f aca="false">IF(B25="","",IF(Q25="Y",1,0)+IF(R25="Y",1,0)+IF(AND(S25&lt;&gt;"",S25=0),1,0)+IF(AND(T25&lt;&gt;"",T25&gt;=0.8),1,0)+IF(AND(U25&lt;&gt;"",U25&lt;1),1,0)+IF(AND(V25&lt;&gt;"",V25&gt;=7),1,0)+IF(W25&lt;&gt;"",1,0)+IF(X25="Y",1,0))</f>
        <v/>
      </c>
      <c r="AD25" s="19" t="str">
        <f aca="false">IF(B25="","",IF(AC25=8,"PASS","FAIL"))</f>
        <v/>
      </c>
      <c r="AE25" s="19" t="str">
        <f aca="false">IF(OR(B25="",Y25=""),"",COUNTIFS($Y$3:$Y$52,"&gt;"&amp;Y25,$B$3:$B$52,"&lt;&gt;")+1)</f>
        <v/>
      </c>
      <c r="AF25" s="19" t="str">
        <f aca="false">IF(OR(B25="",Z25=""),"",COUNTIFS($Z$3:$Z$52,"&lt;"&amp;Z25,$B$3:$B$52,"&lt;&gt;")+1)</f>
        <v/>
      </c>
      <c r="AG25" s="20" t="str">
        <f aca="false">IF(B25="","",IF(AD25="FAIL","REJECT",IF(AB25&gt;=3,"SHORTLIST","REVIEW")))</f>
        <v/>
      </c>
    </row>
    <row r="26" customFormat="false" ht="15" hidden="false" customHeight="false" outlineLevel="0" collapsed="false">
      <c r="A26" s="21" t="n">
        <v>23</v>
      </c>
      <c r="B26" s="22"/>
      <c r="C26" s="22"/>
      <c r="D26" s="23"/>
      <c r="E26" s="22"/>
      <c r="F26" s="22"/>
      <c r="G26" s="22"/>
      <c r="H26" s="22"/>
      <c r="I26" s="24"/>
      <c r="J26" s="25"/>
      <c r="K26" s="22"/>
      <c r="L26" s="22"/>
      <c r="M26" s="23"/>
      <c r="N26" s="23"/>
      <c r="O26" s="23"/>
      <c r="P26" s="22"/>
      <c r="Q26" s="22"/>
      <c r="R26" s="22"/>
      <c r="S26" s="24"/>
      <c r="T26" s="24"/>
      <c r="U26" s="24"/>
      <c r="V26" s="22"/>
      <c r="W26" s="22"/>
      <c r="X26" s="22"/>
      <c r="Y26" s="24"/>
      <c r="Z26" s="24"/>
      <c r="AA26" s="24"/>
      <c r="AB26" s="19" t="str">
        <f aca="false">IF(B26="","",IF(E26="Y",1,0)+IF(H26="Y",1,0)+IF(K26="Y",1,0)+IF(AND(O26&lt;&gt;"",O26&gt;=0),1,0))</f>
        <v/>
      </c>
      <c r="AC26" s="19" t="str">
        <f aca="false">IF(B26="","",IF(Q26="Y",1,0)+IF(R26="Y",1,0)+IF(AND(S26&lt;&gt;"",S26=0),1,0)+IF(AND(T26&lt;&gt;"",T26&gt;=0.8),1,0)+IF(AND(U26&lt;&gt;"",U26&lt;1),1,0)+IF(AND(V26&lt;&gt;"",V26&gt;=7),1,0)+IF(W26&lt;&gt;"",1,0)+IF(X26="Y",1,0))</f>
        <v/>
      </c>
      <c r="AD26" s="19" t="str">
        <f aca="false">IF(B26="","",IF(AC26=8,"PASS","FAIL"))</f>
        <v/>
      </c>
      <c r="AE26" s="19" t="str">
        <f aca="false">IF(OR(B26="",Y26=""),"",COUNTIFS($Y$3:$Y$52,"&gt;"&amp;Y26,$B$3:$B$52,"&lt;&gt;")+1)</f>
        <v/>
      </c>
      <c r="AF26" s="19" t="str">
        <f aca="false">IF(OR(B26="",Z26=""),"",COUNTIFS($Z$3:$Z$52,"&lt;"&amp;Z26,$B$3:$B$52,"&lt;&gt;")+1)</f>
        <v/>
      </c>
      <c r="AG26" s="20" t="str">
        <f aca="false">IF(B26="","",IF(AD26="FAIL","REJECT",IF(AB26&gt;=3,"SHORTLIST","REVIEW")))</f>
        <v/>
      </c>
    </row>
    <row r="27" customFormat="false" ht="15" hidden="false" customHeight="false" outlineLevel="0" collapsed="false">
      <c r="A27" s="21" t="n">
        <v>24</v>
      </c>
      <c r="B27" s="22"/>
      <c r="C27" s="22"/>
      <c r="D27" s="23"/>
      <c r="E27" s="22"/>
      <c r="F27" s="22"/>
      <c r="G27" s="22"/>
      <c r="H27" s="22"/>
      <c r="I27" s="24"/>
      <c r="J27" s="25"/>
      <c r="K27" s="22"/>
      <c r="L27" s="22"/>
      <c r="M27" s="23"/>
      <c r="N27" s="23"/>
      <c r="O27" s="23"/>
      <c r="P27" s="22"/>
      <c r="Q27" s="22"/>
      <c r="R27" s="22"/>
      <c r="S27" s="24"/>
      <c r="T27" s="24"/>
      <c r="U27" s="24"/>
      <c r="V27" s="22"/>
      <c r="W27" s="22"/>
      <c r="X27" s="22"/>
      <c r="Y27" s="24"/>
      <c r="Z27" s="24"/>
      <c r="AA27" s="24"/>
      <c r="AB27" s="19" t="str">
        <f aca="false">IF(B27="","",IF(E27="Y",1,0)+IF(H27="Y",1,0)+IF(K27="Y",1,0)+IF(AND(O27&lt;&gt;"",O27&gt;=0),1,0))</f>
        <v/>
      </c>
      <c r="AC27" s="19" t="str">
        <f aca="false">IF(B27="","",IF(Q27="Y",1,0)+IF(R27="Y",1,0)+IF(AND(S27&lt;&gt;"",S27=0),1,0)+IF(AND(T27&lt;&gt;"",T27&gt;=0.8),1,0)+IF(AND(U27&lt;&gt;"",U27&lt;1),1,0)+IF(AND(V27&lt;&gt;"",V27&gt;=7),1,0)+IF(W27&lt;&gt;"",1,0)+IF(X27="Y",1,0))</f>
        <v/>
      </c>
      <c r="AD27" s="19" t="str">
        <f aca="false">IF(B27="","",IF(AC27=8,"PASS","FAIL"))</f>
        <v/>
      </c>
      <c r="AE27" s="19" t="str">
        <f aca="false">IF(OR(B27="",Y27=""),"",COUNTIFS($Y$3:$Y$52,"&gt;"&amp;Y27,$B$3:$B$52,"&lt;&gt;")+1)</f>
        <v/>
      </c>
      <c r="AF27" s="19" t="str">
        <f aca="false">IF(OR(B27="",Z27=""),"",COUNTIFS($Z$3:$Z$52,"&lt;"&amp;Z27,$B$3:$B$52,"&lt;&gt;")+1)</f>
        <v/>
      </c>
      <c r="AG27" s="20" t="str">
        <f aca="false">IF(B27="","",IF(AD27="FAIL","REJECT",IF(AB27&gt;=3,"SHORTLIST","REVIEW")))</f>
        <v/>
      </c>
    </row>
    <row r="28" customFormat="false" ht="15" hidden="false" customHeight="false" outlineLevel="0" collapsed="false">
      <c r="A28" s="21" t="n">
        <v>25</v>
      </c>
      <c r="B28" s="22"/>
      <c r="C28" s="22"/>
      <c r="D28" s="23"/>
      <c r="E28" s="22"/>
      <c r="F28" s="22"/>
      <c r="G28" s="22"/>
      <c r="H28" s="22"/>
      <c r="I28" s="24"/>
      <c r="J28" s="25"/>
      <c r="K28" s="22"/>
      <c r="L28" s="22"/>
      <c r="M28" s="23"/>
      <c r="N28" s="23"/>
      <c r="O28" s="23"/>
      <c r="P28" s="22"/>
      <c r="Q28" s="22"/>
      <c r="R28" s="22"/>
      <c r="S28" s="24"/>
      <c r="T28" s="24"/>
      <c r="U28" s="24"/>
      <c r="V28" s="22"/>
      <c r="W28" s="22"/>
      <c r="X28" s="22"/>
      <c r="Y28" s="24"/>
      <c r="Z28" s="24"/>
      <c r="AA28" s="24"/>
      <c r="AB28" s="19" t="str">
        <f aca="false">IF(B28="","",IF(E28="Y",1,0)+IF(H28="Y",1,0)+IF(K28="Y",1,0)+IF(AND(O28&lt;&gt;"",O28&gt;=0),1,0))</f>
        <v/>
      </c>
      <c r="AC28" s="19" t="str">
        <f aca="false">IF(B28="","",IF(Q28="Y",1,0)+IF(R28="Y",1,0)+IF(AND(S28&lt;&gt;"",S28=0),1,0)+IF(AND(T28&lt;&gt;"",T28&gt;=0.8),1,0)+IF(AND(U28&lt;&gt;"",U28&lt;1),1,0)+IF(AND(V28&lt;&gt;"",V28&gt;=7),1,0)+IF(W28&lt;&gt;"",1,0)+IF(X28="Y",1,0))</f>
        <v/>
      </c>
      <c r="AD28" s="19" t="str">
        <f aca="false">IF(B28="","",IF(AC28=8,"PASS","FAIL"))</f>
        <v/>
      </c>
      <c r="AE28" s="19" t="str">
        <f aca="false">IF(OR(B28="",Y28=""),"",COUNTIFS($Y$3:$Y$52,"&gt;"&amp;Y28,$B$3:$B$52,"&lt;&gt;")+1)</f>
        <v/>
      </c>
      <c r="AF28" s="19" t="str">
        <f aca="false">IF(OR(B28="",Z28=""),"",COUNTIFS($Z$3:$Z$52,"&lt;"&amp;Z28,$B$3:$B$52,"&lt;&gt;")+1)</f>
        <v/>
      </c>
      <c r="AG28" s="20" t="str">
        <f aca="false">IF(B28="","",IF(AD28="FAIL","REJECT",IF(AB28&gt;=3,"SHORTLIST","REVIEW")))</f>
        <v/>
      </c>
    </row>
    <row r="29" customFormat="false" ht="15" hidden="false" customHeight="false" outlineLevel="0" collapsed="false">
      <c r="A29" s="21" t="n">
        <v>26</v>
      </c>
      <c r="B29" s="22"/>
      <c r="C29" s="22"/>
      <c r="D29" s="23"/>
      <c r="E29" s="22"/>
      <c r="F29" s="22"/>
      <c r="G29" s="22"/>
      <c r="H29" s="22"/>
      <c r="I29" s="24"/>
      <c r="J29" s="25"/>
      <c r="K29" s="22"/>
      <c r="L29" s="22"/>
      <c r="M29" s="23"/>
      <c r="N29" s="23"/>
      <c r="O29" s="23"/>
      <c r="P29" s="22"/>
      <c r="Q29" s="22"/>
      <c r="R29" s="22"/>
      <c r="S29" s="24"/>
      <c r="T29" s="24"/>
      <c r="U29" s="24"/>
      <c r="V29" s="22"/>
      <c r="W29" s="22"/>
      <c r="X29" s="22"/>
      <c r="Y29" s="24"/>
      <c r="Z29" s="24"/>
      <c r="AA29" s="24"/>
      <c r="AB29" s="19" t="str">
        <f aca="false">IF(B29="","",IF(E29="Y",1,0)+IF(H29="Y",1,0)+IF(K29="Y",1,0)+IF(AND(O29&lt;&gt;"",O29&gt;=0),1,0))</f>
        <v/>
      </c>
      <c r="AC29" s="19" t="str">
        <f aca="false">IF(B29="","",IF(Q29="Y",1,0)+IF(R29="Y",1,0)+IF(AND(S29&lt;&gt;"",S29=0),1,0)+IF(AND(T29&lt;&gt;"",T29&gt;=0.8),1,0)+IF(AND(U29&lt;&gt;"",U29&lt;1),1,0)+IF(AND(V29&lt;&gt;"",V29&gt;=7),1,0)+IF(W29&lt;&gt;"",1,0)+IF(X29="Y",1,0))</f>
        <v/>
      </c>
      <c r="AD29" s="19" t="str">
        <f aca="false">IF(B29="","",IF(AC29=8,"PASS","FAIL"))</f>
        <v/>
      </c>
      <c r="AE29" s="19" t="str">
        <f aca="false">IF(OR(B29="",Y29=""),"",COUNTIFS($Y$3:$Y$52,"&gt;"&amp;Y29,$B$3:$B$52,"&lt;&gt;")+1)</f>
        <v/>
      </c>
      <c r="AF29" s="19" t="str">
        <f aca="false">IF(OR(B29="",Z29=""),"",COUNTIFS($Z$3:$Z$52,"&lt;"&amp;Z29,$B$3:$B$52,"&lt;&gt;")+1)</f>
        <v/>
      </c>
      <c r="AG29" s="20" t="str">
        <f aca="false">IF(B29="","",IF(AD29="FAIL","REJECT",IF(AB29&gt;=3,"SHORTLIST","REVIEW")))</f>
        <v/>
      </c>
    </row>
    <row r="30" customFormat="false" ht="15" hidden="false" customHeight="false" outlineLevel="0" collapsed="false">
      <c r="A30" s="21" t="n">
        <v>27</v>
      </c>
      <c r="B30" s="22"/>
      <c r="C30" s="22"/>
      <c r="D30" s="23"/>
      <c r="E30" s="22"/>
      <c r="F30" s="22"/>
      <c r="G30" s="22"/>
      <c r="H30" s="22"/>
      <c r="I30" s="24"/>
      <c r="J30" s="25"/>
      <c r="K30" s="22"/>
      <c r="L30" s="22"/>
      <c r="M30" s="23"/>
      <c r="N30" s="23"/>
      <c r="O30" s="23"/>
      <c r="P30" s="22"/>
      <c r="Q30" s="22"/>
      <c r="R30" s="22"/>
      <c r="S30" s="24"/>
      <c r="T30" s="24"/>
      <c r="U30" s="24"/>
      <c r="V30" s="22"/>
      <c r="W30" s="22"/>
      <c r="X30" s="22"/>
      <c r="Y30" s="24"/>
      <c r="Z30" s="24"/>
      <c r="AA30" s="24"/>
      <c r="AB30" s="19" t="str">
        <f aca="false">IF(B30="","",IF(E30="Y",1,0)+IF(H30="Y",1,0)+IF(K30="Y",1,0)+IF(AND(O30&lt;&gt;"",O30&gt;=0),1,0))</f>
        <v/>
      </c>
      <c r="AC30" s="19" t="str">
        <f aca="false">IF(B30="","",IF(Q30="Y",1,0)+IF(R30="Y",1,0)+IF(AND(S30&lt;&gt;"",S30=0),1,0)+IF(AND(T30&lt;&gt;"",T30&gt;=0.8),1,0)+IF(AND(U30&lt;&gt;"",U30&lt;1),1,0)+IF(AND(V30&lt;&gt;"",V30&gt;=7),1,0)+IF(W30&lt;&gt;"",1,0)+IF(X30="Y",1,0))</f>
        <v/>
      </c>
      <c r="AD30" s="19" t="str">
        <f aca="false">IF(B30="","",IF(AC30=8,"PASS","FAIL"))</f>
        <v/>
      </c>
      <c r="AE30" s="19" t="str">
        <f aca="false">IF(OR(B30="",Y30=""),"",COUNTIFS($Y$3:$Y$52,"&gt;"&amp;Y30,$B$3:$B$52,"&lt;&gt;")+1)</f>
        <v/>
      </c>
      <c r="AF30" s="19" t="str">
        <f aca="false">IF(OR(B30="",Z30=""),"",COUNTIFS($Z$3:$Z$52,"&lt;"&amp;Z30,$B$3:$B$52,"&lt;&gt;")+1)</f>
        <v/>
      </c>
      <c r="AG30" s="20" t="str">
        <f aca="false">IF(B30="","",IF(AD30="FAIL","REJECT",IF(AB30&gt;=3,"SHORTLIST","REVIEW")))</f>
        <v/>
      </c>
    </row>
    <row r="31" customFormat="false" ht="15" hidden="false" customHeight="false" outlineLevel="0" collapsed="false">
      <c r="A31" s="21" t="n">
        <v>28</v>
      </c>
      <c r="B31" s="22"/>
      <c r="C31" s="22"/>
      <c r="D31" s="23"/>
      <c r="E31" s="22"/>
      <c r="F31" s="22"/>
      <c r="G31" s="22"/>
      <c r="H31" s="22"/>
      <c r="I31" s="24"/>
      <c r="J31" s="25"/>
      <c r="K31" s="22"/>
      <c r="L31" s="22"/>
      <c r="M31" s="23"/>
      <c r="N31" s="23"/>
      <c r="O31" s="23"/>
      <c r="P31" s="22"/>
      <c r="Q31" s="22"/>
      <c r="R31" s="22"/>
      <c r="S31" s="24"/>
      <c r="T31" s="24"/>
      <c r="U31" s="24"/>
      <c r="V31" s="22"/>
      <c r="W31" s="22"/>
      <c r="X31" s="22"/>
      <c r="Y31" s="24"/>
      <c r="Z31" s="24"/>
      <c r="AA31" s="24"/>
      <c r="AB31" s="19" t="str">
        <f aca="false">IF(B31="","",IF(E31="Y",1,0)+IF(H31="Y",1,0)+IF(K31="Y",1,0)+IF(AND(O31&lt;&gt;"",O31&gt;=0),1,0))</f>
        <v/>
      </c>
      <c r="AC31" s="19" t="str">
        <f aca="false">IF(B31="","",IF(Q31="Y",1,0)+IF(R31="Y",1,0)+IF(AND(S31&lt;&gt;"",S31=0),1,0)+IF(AND(T31&lt;&gt;"",T31&gt;=0.8),1,0)+IF(AND(U31&lt;&gt;"",U31&lt;1),1,0)+IF(AND(V31&lt;&gt;"",V31&gt;=7),1,0)+IF(W31&lt;&gt;"",1,0)+IF(X31="Y",1,0))</f>
        <v/>
      </c>
      <c r="AD31" s="19" t="str">
        <f aca="false">IF(B31="","",IF(AC31=8,"PASS","FAIL"))</f>
        <v/>
      </c>
      <c r="AE31" s="19" t="str">
        <f aca="false">IF(OR(B31="",Y31=""),"",COUNTIFS($Y$3:$Y$52,"&gt;"&amp;Y31,$B$3:$B$52,"&lt;&gt;")+1)</f>
        <v/>
      </c>
      <c r="AF31" s="19" t="str">
        <f aca="false">IF(OR(B31="",Z31=""),"",COUNTIFS($Z$3:$Z$52,"&lt;"&amp;Z31,$B$3:$B$52,"&lt;&gt;")+1)</f>
        <v/>
      </c>
      <c r="AG31" s="20" t="str">
        <f aca="false">IF(B31="","",IF(AD31="FAIL","REJECT",IF(AB31&gt;=3,"SHORTLIST","REVIEW")))</f>
        <v/>
      </c>
    </row>
    <row r="32" customFormat="false" ht="15" hidden="false" customHeight="false" outlineLevel="0" collapsed="false">
      <c r="A32" s="21" t="n">
        <v>29</v>
      </c>
      <c r="B32" s="22"/>
      <c r="C32" s="22"/>
      <c r="D32" s="23"/>
      <c r="E32" s="22"/>
      <c r="F32" s="22"/>
      <c r="G32" s="22"/>
      <c r="H32" s="22"/>
      <c r="I32" s="24"/>
      <c r="J32" s="25"/>
      <c r="K32" s="22"/>
      <c r="L32" s="22"/>
      <c r="M32" s="23"/>
      <c r="N32" s="23"/>
      <c r="O32" s="23"/>
      <c r="P32" s="22"/>
      <c r="Q32" s="22"/>
      <c r="R32" s="22"/>
      <c r="S32" s="24"/>
      <c r="T32" s="24"/>
      <c r="U32" s="24"/>
      <c r="V32" s="22"/>
      <c r="W32" s="22"/>
      <c r="X32" s="22"/>
      <c r="Y32" s="24"/>
      <c r="Z32" s="24"/>
      <c r="AA32" s="24"/>
      <c r="AB32" s="19" t="str">
        <f aca="false">IF(B32="","",IF(E32="Y",1,0)+IF(H32="Y",1,0)+IF(K32="Y",1,0)+IF(AND(O32&lt;&gt;"",O32&gt;=0),1,0))</f>
        <v/>
      </c>
      <c r="AC32" s="19" t="str">
        <f aca="false">IF(B32="","",IF(Q32="Y",1,0)+IF(R32="Y",1,0)+IF(AND(S32&lt;&gt;"",S32=0),1,0)+IF(AND(T32&lt;&gt;"",T32&gt;=0.8),1,0)+IF(AND(U32&lt;&gt;"",U32&lt;1),1,0)+IF(AND(V32&lt;&gt;"",V32&gt;=7),1,0)+IF(W32&lt;&gt;"",1,0)+IF(X32="Y",1,0))</f>
        <v/>
      </c>
      <c r="AD32" s="19" t="str">
        <f aca="false">IF(B32="","",IF(AC32=8,"PASS","FAIL"))</f>
        <v/>
      </c>
      <c r="AE32" s="19" t="str">
        <f aca="false">IF(OR(B32="",Y32=""),"",COUNTIFS($Y$3:$Y$52,"&gt;"&amp;Y32,$B$3:$B$52,"&lt;&gt;")+1)</f>
        <v/>
      </c>
      <c r="AF32" s="19" t="str">
        <f aca="false">IF(OR(B32="",Z32=""),"",COUNTIFS($Z$3:$Z$52,"&lt;"&amp;Z32,$B$3:$B$52,"&lt;&gt;")+1)</f>
        <v/>
      </c>
      <c r="AG32" s="20" t="str">
        <f aca="false">IF(B32="","",IF(AD32="FAIL","REJECT",IF(AB32&gt;=3,"SHORTLIST","REVIEW")))</f>
        <v/>
      </c>
    </row>
    <row r="33" customFormat="false" ht="15" hidden="false" customHeight="false" outlineLevel="0" collapsed="false">
      <c r="A33" s="21" t="n">
        <v>30</v>
      </c>
      <c r="B33" s="22"/>
      <c r="C33" s="22"/>
      <c r="D33" s="23"/>
      <c r="E33" s="22"/>
      <c r="F33" s="22"/>
      <c r="G33" s="22"/>
      <c r="H33" s="22"/>
      <c r="I33" s="24"/>
      <c r="J33" s="25"/>
      <c r="K33" s="22"/>
      <c r="L33" s="22"/>
      <c r="M33" s="23"/>
      <c r="N33" s="23"/>
      <c r="O33" s="23"/>
      <c r="P33" s="22"/>
      <c r="Q33" s="22"/>
      <c r="R33" s="22"/>
      <c r="S33" s="24"/>
      <c r="T33" s="24"/>
      <c r="U33" s="24"/>
      <c r="V33" s="22"/>
      <c r="W33" s="22"/>
      <c r="X33" s="22"/>
      <c r="Y33" s="24"/>
      <c r="Z33" s="24"/>
      <c r="AA33" s="24"/>
      <c r="AB33" s="19" t="str">
        <f aca="false">IF(B33="","",IF(E33="Y",1,0)+IF(H33="Y",1,0)+IF(K33="Y",1,0)+IF(AND(O33&lt;&gt;"",O33&gt;=0),1,0))</f>
        <v/>
      </c>
      <c r="AC33" s="19" t="str">
        <f aca="false">IF(B33="","",IF(Q33="Y",1,0)+IF(R33="Y",1,0)+IF(AND(S33&lt;&gt;"",S33=0),1,0)+IF(AND(T33&lt;&gt;"",T33&gt;=0.8),1,0)+IF(AND(U33&lt;&gt;"",U33&lt;1),1,0)+IF(AND(V33&lt;&gt;"",V33&gt;=7),1,0)+IF(W33&lt;&gt;"",1,0)+IF(X33="Y",1,0))</f>
        <v/>
      </c>
      <c r="AD33" s="19" t="str">
        <f aca="false">IF(B33="","",IF(AC33=8,"PASS","FAIL"))</f>
        <v/>
      </c>
      <c r="AE33" s="19" t="str">
        <f aca="false">IF(OR(B33="",Y33=""),"",COUNTIFS($Y$3:$Y$52,"&gt;"&amp;Y33,$B$3:$B$52,"&lt;&gt;")+1)</f>
        <v/>
      </c>
      <c r="AF33" s="19" t="str">
        <f aca="false">IF(OR(B33="",Z33=""),"",COUNTIFS($Z$3:$Z$52,"&lt;"&amp;Z33,$B$3:$B$52,"&lt;&gt;")+1)</f>
        <v/>
      </c>
      <c r="AG33" s="20" t="str">
        <f aca="false">IF(B33="","",IF(AD33="FAIL","REJECT",IF(AB33&gt;=3,"SHORTLIST","REVIEW")))</f>
        <v/>
      </c>
    </row>
    <row r="34" customFormat="false" ht="15" hidden="false" customHeight="false" outlineLevel="0" collapsed="false">
      <c r="A34" s="21" t="n">
        <v>31</v>
      </c>
      <c r="B34" s="22"/>
      <c r="C34" s="22"/>
      <c r="D34" s="23"/>
      <c r="E34" s="22"/>
      <c r="F34" s="22"/>
      <c r="G34" s="22"/>
      <c r="H34" s="22"/>
      <c r="I34" s="24"/>
      <c r="J34" s="25"/>
      <c r="K34" s="22"/>
      <c r="L34" s="22"/>
      <c r="M34" s="23"/>
      <c r="N34" s="23"/>
      <c r="O34" s="23"/>
      <c r="P34" s="22"/>
      <c r="Q34" s="22"/>
      <c r="R34" s="22"/>
      <c r="S34" s="24"/>
      <c r="T34" s="24"/>
      <c r="U34" s="24"/>
      <c r="V34" s="22"/>
      <c r="W34" s="22"/>
      <c r="X34" s="22"/>
      <c r="Y34" s="24"/>
      <c r="Z34" s="24"/>
      <c r="AA34" s="24"/>
      <c r="AB34" s="19" t="str">
        <f aca="false">IF(B34="","",IF(E34="Y",1,0)+IF(H34="Y",1,0)+IF(K34="Y",1,0)+IF(AND(O34&lt;&gt;"",O34&gt;=0),1,0))</f>
        <v/>
      </c>
      <c r="AC34" s="19" t="str">
        <f aca="false">IF(B34="","",IF(Q34="Y",1,0)+IF(R34="Y",1,0)+IF(AND(S34&lt;&gt;"",S34=0),1,0)+IF(AND(T34&lt;&gt;"",T34&gt;=0.8),1,0)+IF(AND(U34&lt;&gt;"",U34&lt;1),1,0)+IF(AND(V34&lt;&gt;"",V34&gt;=7),1,0)+IF(W34&lt;&gt;"",1,0)+IF(X34="Y",1,0))</f>
        <v/>
      </c>
      <c r="AD34" s="19" t="str">
        <f aca="false">IF(B34="","",IF(AC34=8,"PASS","FAIL"))</f>
        <v/>
      </c>
      <c r="AE34" s="19" t="str">
        <f aca="false">IF(OR(B34="",Y34=""),"",COUNTIFS($Y$3:$Y$52,"&gt;"&amp;Y34,$B$3:$B$52,"&lt;&gt;")+1)</f>
        <v/>
      </c>
      <c r="AF34" s="19" t="str">
        <f aca="false">IF(OR(B34="",Z34=""),"",COUNTIFS($Z$3:$Z$52,"&lt;"&amp;Z34,$B$3:$B$52,"&lt;&gt;")+1)</f>
        <v/>
      </c>
      <c r="AG34" s="20" t="str">
        <f aca="false">IF(B34="","",IF(AD34="FAIL","REJECT",IF(AB34&gt;=3,"SHORTLIST","REVIEW")))</f>
        <v/>
      </c>
    </row>
    <row r="35" customFormat="false" ht="15" hidden="false" customHeight="false" outlineLevel="0" collapsed="false">
      <c r="A35" s="21" t="n">
        <v>32</v>
      </c>
      <c r="B35" s="22"/>
      <c r="C35" s="22"/>
      <c r="D35" s="23"/>
      <c r="E35" s="22"/>
      <c r="F35" s="22"/>
      <c r="G35" s="22"/>
      <c r="H35" s="22"/>
      <c r="I35" s="24"/>
      <c r="J35" s="25"/>
      <c r="K35" s="22"/>
      <c r="L35" s="22"/>
      <c r="M35" s="23"/>
      <c r="N35" s="23"/>
      <c r="O35" s="23"/>
      <c r="P35" s="22"/>
      <c r="Q35" s="22"/>
      <c r="R35" s="22"/>
      <c r="S35" s="24"/>
      <c r="T35" s="24"/>
      <c r="U35" s="24"/>
      <c r="V35" s="22"/>
      <c r="W35" s="22"/>
      <c r="X35" s="22"/>
      <c r="Y35" s="24"/>
      <c r="Z35" s="24"/>
      <c r="AA35" s="24"/>
      <c r="AB35" s="19" t="str">
        <f aca="false">IF(B35="","",IF(E35="Y",1,0)+IF(H35="Y",1,0)+IF(K35="Y",1,0)+IF(AND(O35&lt;&gt;"",O35&gt;=0),1,0))</f>
        <v/>
      </c>
      <c r="AC35" s="19" t="str">
        <f aca="false">IF(B35="","",IF(Q35="Y",1,0)+IF(R35="Y",1,0)+IF(AND(S35&lt;&gt;"",S35=0),1,0)+IF(AND(T35&lt;&gt;"",T35&gt;=0.8),1,0)+IF(AND(U35&lt;&gt;"",U35&lt;1),1,0)+IF(AND(V35&lt;&gt;"",V35&gt;=7),1,0)+IF(W35&lt;&gt;"",1,0)+IF(X35="Y",1,0))</f>
        <v/>
      </c>
      <c r="AD35" s="19" t="str">
        <f aca="false">IF(B35="","",IF(AC35=8,"PASS","FAIL"))</f>
        <v/>
      </c>
      <c r="AE35" s="19" t="str">
        <f aca="false">IF(OR(B35="",Y35=""),"",COUNTIFS($Y$3:$Y$52,"&gt;"&amp;Y35,$B$3:$B$52,"&lt;&gt;")+1)</f>
        <v/>
      </c>
      <c r="AF35" s="19" t="str">
        <f aca="false">IF(OR(B35="",Z35=""),"",COUNTIFS($Z$3:$Z$52,"&lt;"&amp;Z35,$B$3:$B$52,"&lt;&gt;")+1)</f>
        <v/>
      </c>
      <c r="AG35" s="20" t="str">
        <f aca="false">IF(B35="","",IF(AD35="FAIL","REJECT",IF(AB35&gt;=3,"SHORTLIST","REVIEW")))</f>
        <v/>
      </c>
    </row>
    <row r="36" customFormat="false" ht="15" hidden="false" customHeight="false" outlineLevel="0" collapsed="false">
      <c r="A36" s="21" t="n">
        <v>33</v>
      </c>
      <c r="B36" s="22"/>
      <c r="C36" s="22"/>
      <c r="D36" s="23"/>
      <c r="E36" s="22"/>
      <c r="F36" s="22"/>
      <c r="G36" s="22"/>
      <c r="H36" s="22"/>
      <c r="I36" s="24"/>
      <c r="J36" s="25"/>
      <c r="K36" s="22"/>
      <c r="L36" s="22"/>
      <c r="M36" s="23"/>
      <c r="N36" s="23"/>
      <c r="O36" s="23"/>
      <c r="P36" s="22"/>
      <c r="Q36" s="22"/>
      <c r="R36" s="22"/>
      <c r="S36" s="24"/>
      <c r="T36" s="24"/>
      <c r="U36" s="24"/>
      <c r="V36" s="22"/>
      <c r="W36" s="22"/>
      <c r="X36" s="22"/>
      <c r="Y36" s="24"/>
      <c r="Z36" s="24"/>
      <c r="AA36" s="24"/>
      <c r="AB36" s="19" t="str">
        <f aca="false">IF(B36="","",IF(E36="Y",1,0)+IF(H36="Y",1,0)+IF(K36="Y",1,0)+IF(AND(O36&lt;&gt;"",O36&gt;=0),1,0))</f>
        <v/>
      </c>
      <c r="AC36" s="19" t="str">
        <f aca="false">IF(B36="","",IF(Q36="Y",1,0)+IF(R36="Y",1,0)+IF(AND(S36&lt;&gt;"",S36=0),1,0)+IF(AND(T36&lt;&gt;"",T36&gt;=0.8),1,0)+IF(AND(U36&lt;&gt;"",U36&lt;1),1,0)+IF(AND(V36&lt;&gt;"",V36&gt;=7),1,0)+IF(W36&lt;&gt;"",1,0)+IF(X36="Y",1,0))</f>
        <v/>
      </c>
      <c r="AD36" s="19" t="str">
        <f aca="false">IF(B36="","",IF(AC36=8,"PASS","FAIL"))</f>
        <v/>
      </c>
      <c r="AE36" s="19" t="str">
        <f aca="false">IF(OR(B36="",Y36=""),"",COUNTIFS($Y$3:$Y$52,"&gt;"&amp;Y36,$B$3:$B$52,"&lt;&gt;")+1)</f>
        <v/>
      </c>
      <c r="AF36" s="19" t="str">
        <f aca="false">IF(OR(B36="",Z36=""),"",COUNTIFS($Z$3:$Z$52,"&lt;"&amp;Z36,$B$3:$B$52,"&lt;&gt;")+1)</f>
        <v/>
      </c>
      <c r="AG36" s="20" t="str">
        <f aca="false">IF(B36="","",IF(AD36="FAIL","REJECT",IF(AB36&gt;=3,"SHORTLIST","REVIEW")))</f>
        <v/>
      </c>
    </row>
    <row r="37" customFormat="false" ht="15" hidden="false" customHeight="false" outlineLevel="0" collapsed="false">
      <c r="A37" s="21" t="n">
        <v>34</v>
      </c>
      <c r="B37" s="22"/>
      <c r="C37" s="22"/>
      <c r="D37" s="23"/>
      <c r="E37" s="22"/>
      <c r="F37" s="22"/>
      <c r="G37" s="22"/>
      <c r="H37" s="22"/>
      <c r="I37" s="24"/>
      <c r="J37" s="25"/>
      <c r="K37" s="22"/>
      <c r="L37" s="22"/>
      <c r="M37" s="23"/>
      <c r="N37" s="23"/>
      <c r="O37" s="23"/>
      <c r="P37" s="22"/>
      <c r="Q37" s="22"/>
      <c r="R37" s="22"/>
      <c r="S37" s="24"/>
      <c r="T37" s="24"/>
      <c r="U37" s="24"/>
      <c r="V37" s="22"/>
      <c r="W37" s="22"/>
      <c r="X37" s="22"/>
      <c r="Y37" s="24"/>
      <c r="Z37" s="24"/>
      <c r="AA37" s="24"/>
      <c r="AB37" s="19" t="str">
        <f aca="false">IF(B37="","",IF(E37="Y",1,0)+IF(H37="Y",1,0)+IF(K37="Y",1,0)+IF(AND(O37&lt;&gt;"",O37&gt;=0),1,0))</f>
        <v/>
      </c>
      <c r="AC37" s="19" t="str">
        <f aca="false">IF(B37="","",IF(Q37="Y",1,0)+IF(R37="Y",1,0)+IF(AND(S37&lt;&gt;"",S37=0),1,0)+IF(AND(T37&lt;&gt;"",T37&gt;=0.8),1,0)+IF(AND(U37&lt;&gt;"",U37&lt;1),1,0)+IF(AND(V37&lt;&gt;"",V37&gt;=7),1,0)+IF(W37&lt;&gt;"",1,0)+IF(X37="Y",1,0))</f>
        <v/>
      </c>
      <c r="AD37" s="19" t="str">
        <f aca="false">IF(B37="","",IF(AC37=8,"PASS","FAIL"))</f>
        <v/>
      </c>
      <c r="AE37" s="19" t="str">
        <f aca="false">IF(OR(B37="",Y37=""),"",COUNTIFS($Y$3:$Y$52,"&gt;"&amp;Y37,$B$3:$B$52,"&lt;&gt;")+1)</f>
        <v/>
      </c>
      <c r="AF37" s="19" t="str">
        <f aca="false">IF(OR(B37="",Z37=""),"",COUNTIFS($Z$3:$Z$52,"&lt;"&amp;Z37,$B$3:$B$52,"&lt;&gt;")+1)</f>
        <v/>
      </c>
      <c r="AG37" s="20" t="str">
        <f aca="false">IF(B37="","",IF(AD37="FAIL","REJECT",IF(AB37&gt;=3,"SHORTLIST","REVIEW")))</f>
        <v/>
      </c>
    </row>
    <row r="38" customFormat="false" ht="15" hidden="false" customHeight="false" outlineLevel="0" collapsed="false">
      <c r="A38" s="21" t="n">
        <v>35</v>
      </c>
      <c r="B38" s="22"/>
      <c r="C38" s="22"/>
      <c r="D38" s="23"/>
      <c r="E38" s="22"/>
      <c r="F38" s="22"/>
      <c r="G38" s="22"/>
      <c r="H38" s="22"/>
      <c r="I38" s="24"/>
      <c r="J38" s="25"/>
      <c r="K38" s="22"/>
      <c r="L38" s="22"/>
      <c r="M38" s="23"/>
      <c r="N38" s="23"/>
      <c r="O38" s="23"/>
      <c r="P38" s="22"/>
      <c r="Q38" s="22"/>
      <c r="R38" s="22"/>
      <c r="S38" s="24"/>
      <c r="T38" s="24"/>
      <c r="U38" s="24"/>
      <c r="V38" s="22"/>
      <c r="W38" s="22"/>
      <c r="X38" s="22"/>
      <c r="Y38" s="24"/>
      <c r="Z38" s="24"/>
      <c r="AA38" s="24"/>
      <c r="AB38" s="19" t="str">
        <f aca="false">IF(B38="","",IF(E38="Y",1,0)+IF(H38="Y",1,0)+IF(K38="Y",1,0)+IF(AND(O38&lt;&gt;"",O38&gt;=0),1,0))</f>
        <v/>
      </c>
      <c r="AC38" s="19" t="str">
        <f aca="false">IF(B38="","",IF(Q38="Y",1,0)+IF(R38="Y",1,0)+IF(AND(S38&lt;&gt;"",S38=0),1,0)+IF(AND(T38&lt;&gt;"",T38&gt;=0.8),1,0)+IF(AND(U38&lt;&gt;"",U38&lt;1),1,0)+IF(AND(V38&lt;&gt;"",V38&gt;=7),1,0)+IF(W38&lt;&gt;"",1,0)+IF(X38="Y",1,0))</f>
        <v/>
      </c>
      <c r="AD38" s="19" t="str">
        <f aca="false">IF(B38="","",IF(AC38=8,"PASS","FAIL"))</f>
        <v/>
      </c>
      <c r="AE38" s="19" t="str">
        <f aca="false">IF(OR(B38="",Y38=""),"",COUNTIFS($Y$3:$Y$52,"&gt;"&amp;Y38,$B$3:$B$52,"&lt;&gt;")+1)</f>
        <v/>
      </c>
      <c r="AF38" s="19" t="str">
        <f aca="false">IF(OR(B38="",Z38=""),"",COUNTIFS($Z$3:$Z$52,"&lt;"&amp;Z38,$B$3:$B$52,"&lt;&gt;")+1)</f>
        <v/>
      </c>
      <c r="AG38" s="20" t="str">
        <f aca="false">IF(B38="","",IF(AD38="FAIL","REJECT",IF(AB38&gt;=3,"SHORTLIST","REVIEW")))</f>
        <v/>
      </c>
    </row>
    <row r="39" customFormat="false" ht="15" hidden="false" customHeight="false" outlineLevel="0" collapsed="false">
      <c r="A39" s="21" t="n">
        <v>36</v>
      </c>
      <c r="B39" s="22"/>
      <c r="C39" s="22"/>
      <c r="D39" s="23"/>
      <c r="E39" s="22"/>
      <c r="F39" s="22"/>
      <c r="G39" s="22"/>
      <c r="H39" s="22"/>
      <c r="I39" s="24"/>
      <c r="J39" s="25"/>
      <c r="K39" s="22"/>
      <c r="L39" s="22"/>
      <c r="M39" s="23"/>
      <c r="N39" s="23"/>
      <c r="O39" s="23"/>
      <c r="P39" s="22"/>
      <c r="Q39" s="22"/>
      <c r="R39" s="22"/>
      <c r="S39" s="24"/>
      <c r="T39" s="24"/>
      <c r="U39" s="24"/>
      <c r="V39" s="22"/>
      <c r="W39" s="22"/>
      <c r="X39" s="22"/>
      <c r="Y39" s="24"/>
      <c r="Z39" s="24"/>
      <c r="AA39" s="24"/>
      <c r="AB39" s="19" t="str">
        <f aca="false">IF(B39="","",IF(E39="Y",1,0)+IF(H39="Y",1,0)+IF(K39="Y",1,0)+IF(AND(O39&lt;&gt;"",O39&gt;=0),1,0))</f>
        <v/>
      </c>
      <c r="AC39" s="19" t="str">
        <f aca="false">IF(B39="","",IF(Q39="Y",1,0)+IF(R39="Y",1,0)+IF(AND(S39&lt;&gt;"",S39=0),1,0)+IF(AND(T39&lt;&gt;"",T39&gt;=0.8),1,0)+IF(AND(U39&lt;&gt;"",U39&lt;1),1,0)+IF(AND(V39&lt;&gt;"",V39&gt;=7),1,0)+IF(W39&lt;&gt;"",1,0)+IF(X39="Y",1,0))</f>
        <v/>
      </c>
      <c r="AD39" s="19" t="str">
        <f aca="false">IF(B39="","",IF(AC39=8,"PASS","FAIL"))</f>
        <v/>
      </c>
      <c r="AE39" s="19" t="str">
        <f aca="false">IF(OR(B39="",Y39=""),"",COUNTIFS($Y$3:$Y$52,"&gt;"&amp;Y39,$B$3:$B$52,"&lt;&gt;")+1)</f>
        <v/>
      </c>
      <c r="AF39" s="19" t="str">
        <f aca="false">IF(OR(B39="",Z39=""),"",COUNTIFS($Z$3:$Z$52,"&lt;"&amp;Z39,$B$3:$B$52,"&lt;&gt;")+1)</f>
        <v/>
      </c>
      <c r="AG39" s="20" t="str">
        <f aca="false">IF(B39="","",IF(AD39="FAIL","REJECT",IF(AB39&gt;=3,"SHORTLIST","REVIEW")))</f>
        <v/>
      </c>
    </row>
    <row r="40" customFormat="false" ht="15" hidden="false" customHeight="false" outlineLevel="0" collapsed="false">
      <c r="A40" s="21" t="n">
        <v>37</v>
      </c>
      <c r="B40" s="22"/>
      <c r="C40" s="22"/>
      <c r="D40" s="23"/>
      <c r="E40" s="22"/>
      <c r="F40" s="22"/>
      <c r="G40" s="22"/>
      <c r="H40" s="22"/>
      <c r="I40" s="24"/>
      <c r="J40" s="25"/>
      <c r="K40" s="22"/>
      <c r="L40" s="22"/>
      <c r="M40" s="23"/>
      <c r="N40" s="23"/>
      <c r="O40" s="23"/>
      <c r="P40" s="22"/>
      <c r="Q40" s="22"/>
      <c r="R40" s="22"/>
      <c r="S40" s="24"/>
      <c r="T40" s="24"/>
      <c r="U40" s="24"/>
      <c r="V40" s="22"/>
      <c r="W40" s="22"/>
      <c r="X40" s="22"/>
      <c r="Y40" s="24"/>
      <c r="Z40" s="24"/>
      <c r="AA40" s="24"/>
      <c r="AB40" s="19" t="str">
        <f aca="false">IF(B40="","",IF(E40="Y",1,0)+IF(H40="Y",1,0)+IF(K40="Y",1,0)+IF(AND(O40&lt;&gt;"",O40&gt;=0),1,0))</f>
        <v/>
      </c>
      <c r="AC40" s="19" t="str">
        <f aca="false">IF(B40="","",IF(Q40="Y",1,0)+IF(R40="Y",1,0)+IF(AND(S40&lt;&gt;"",S40=0),1,0)+IF(AND(T40&lt;&gt;"",T40&gt;=0.8),1,0)+IF(AND(U40&lt;&gt;"",U40&lt;1),1,0)+IF(AND(V40&lt;&gt;"",V40&gt;=7),1,0)+IF(W40&lt;&gt;"",1,0)+IF(X40="Y",1,0))</f>
        <v/>
      </c>
      <c r="AD40" s="19" t="str">
        <f aca="false">IF(B40="","",IF(AC40=8,"PASS","FAIL"))</f>
        <v/>
      </c>
      <c r="AE40" s="19" t="str">
        <f aca="false">IF(OR(B40="",Y40=""),"",COUNTIFS($Y$3:$Y$52,"&gt;"&amp;Y40,$B$3:$B$52,"&lt;&gt;")+1)</f>
        <v/>
      </c>
      <c r="AF40" s="19" t="str">
        <f aca="false">IF(OR(B40="",Z40=""),"",COUNTIFS($Z$3:$Z$52,"&lt;"&amp;Z40,$B$3:$B$52,"&lt;&gt;")+1)</f>
        <v/>
      </c>
      <c r="AG40" s="20" t="str">
        <f aca="false">IF(B40="","",IF(AD40="FAIL","REJECT",IF(AB40&gt;=3,"SHORTLIST","REVIEW")))</f>
        <v/>
      </c>
    </row>
    <row r="41" customFormat="false" ht="15" hidden="false" customHeight="false" outlineLevel="0" collapsed="false">
      <c r="A41" s="21" t="n">
        <v>38</v>
      </c>
      <c r="B41" s="22"/>
      <c r="C41" s="22"/>
      <c r="D41" s="23"/>
      <c r="E41" s="22"/>
      <c r="F41" s="22"/>
      <c r="G41" s="22"/>
      <c r="H41" s="22"/>
      <c r="I41" s="24"/>
      <c r="J41" s="25"/>
      <c r="K41" s="22"/>
      <c r="L41" s="22"/>
      <c r="M41" s="23"/>
      <c r="N41" s="23"/>
      <c r="O41" s="23"/>
      <c r="P41" s="22"/>
      <c r="Q41" s="22"/>
      <c r="R41" s="22"/>
      <c r="S41" s="24"/>
      <c r="T41" s="24"/>
      <c r="U41" s="24"/>
      <c r="V41" s="22"/>
      <c r="W41" s="22"/>
      <c r="X41" s="22"/>
      <c r="Y41" s="24"/>
      <c r="Z41" s="24"/>
      <c r="AA41" s="24"/>
      <c r="AB41" s="19" t="str">
        <f aca="false">IF(B41="","",IF(E41="Y",1,0)+IF(H41="Y",1,0)+IF(K41="Y",1,0)+IF(AND(O41&lt;&gt;"",O41&gt;=0),1,0))</f>
        <v/>
      </c>
      <c r="AC41" s="19" t="str">
        <f aca="false">IF(B41="","",IF(Q41="Y",1,0)+IF(R41="Y",1,0)+IF(AND(S41&lt;&gt;"",S41=0),1,0)+IF(AND(T41&lt;&gt;"",T41&gt;=0.8),1,0)+IF(AND(U41&lt;&gt;"",U41&lt;1),1,0)+IF(AND(V41&lt;&gt;"",V41&gt;=7),1,0)+IF(W41&lt;&gt;"",1,0)+IF(X41="Y",1,0))</f>
        <v/>
      </c>
      <c r="AD41" s="19" t="str">
        <f aca="false">IF(B41="","",IF(AC41=8,"PASS","FAIL"))</f>
        <v/>
      </c>
      <c r="AE41" s="19" t="str">
        <f aca="false">IF(OR(B41="",Y41=""),"",COUNTIFS($Y$3:$Y$52,"&gt;"&amp;Y41,$B$3:$B$52,"&lt;&gt;")+1)</f>
        <v/>
      </c>
      <c r="AF41" s="19" t="str">
        <f aca="false">IF(OR(B41="",Z41=""),"",COUNTIFS($Z$3:$Z$52,"&lt;"&amp;Z41,$B$3:$B$52,"&lt;&gt;")+1)</f>
        <v/>
      </c>
      <c r="AG41" s="20" t="str">
        <f aca="false">IF(B41="","",IF(AD41="FAIL","REJECT",IF(AB41&gt;=3,"SHORTLIST","REVIEW")))</f>
        <v/>
      </c>
    </row>
    <row r="42" customFormat="false" ht="15" hidden="false" customHeight="false" outlineLevel="0" collapsed="false">
      <c r="A42" s="21" t="n">
        <v>39</v>
      </c>
      <c r="B42" s="22"/>
      <c r="C42" s="22"/>
      <c r="D42" s="23"/>
      <c r="E42" s="22"/>
      <c r="F42" s="22"/>
      <c r="G42" s="22"/>
      <c r="H42" s="22"/>
      <c r="I42" s="24"/>
      <c r="J42" s="25"/>
      <c r="K42" s="22"/>
      <c r="L42" s="22"/>
      <c r="M42" s="23"/>
      <c r="N42" s="23"/>
      <c r="O42" s="23"/>
      <c r="P42" s="22"/>
      <c r="Q42" s="22"/>
      <c r="R42" s="22"/>
      <c r="S42" s="24"/>
      <c r="T42" s="24"/>
      <c r="U42" s="24"/>
      <c r="V42" s="22"/>
      <c r="W42" s="22"/>
      <c r="X42" s="22"/>
      <c r="Y42" s="24"/>
      <c r="Z42" s="24"/>
      <c r="AA42" s="24"/>
      <c r="AB42" s="19" t="str">
        <f aca="false">IF(B42="","",IF(E42="Y",1,0)+IF(H42="Y",1,0)+IF(K42="Y",1,0)+IF(AND(O42&lt;&gt;"",O42&gt;=0),1,0))</f>
        <v/>
      </c>
      <c r="AC42" s="19" t="str">
        <f aca="false">IF(B42="","",IF(Q42="Y",1,0)+IF(R42="Y",1,0)+IF(AND(S42&lt;&gt;"",S42=0),1,0)+IF(AND(T42&lt;&gt;"",T42&gt;=0.8),1,0)+IF(AND(U42&lt;&gt;"",U42&lt;1),1,0)+IF(AND(V42&lt;&gt;"",V42&gt;=7),1,0)+IF(W42&lt;&gt;"",1,0)+IF(X42="Y",1,0))</f>
        <v/>
      </c>
      <c r="AD42" s="19" t="str">
        <f aca="false">IF(B42="","",IF(AC42=8,"PASS","FAIL"))</f>
        <v/>
      </c>
      <c r="AE42" s="19" t="str">
        <f aca="false">IF(OR(B42="",Y42=""),"",COUNTIFS($Y$3:$Y$52,"&gt;"&amp;Y42,$B$3:$B$52,"&lt;&gt;")+1)</f>
        <v/>
      </c>
      <c r="AF42" s="19" t="str">
        <f aca="false">IF(OR(B42="",Z42=""),"",COUNTIFS($Z$3:$Z$52,"&lt;"&amp;Z42,$B$3:$B$52,"&lt;&gt;")+1)</f>
        <v/>
      </c>
      <c r="AG42" s="20" t="str">
        <f aca="false">IF(B42="","",IF(AD42="FAIL","REJECT",IF(AB42&gt;=3,"SHORTLIST","REVIEW")))</f>
        <v/>
      </c>
    </row>
    <row r="43" customFormat="false" ht="15" hidden="false" customHeight="false" outlineLevel="0" collapsed="false">
      <c r="A43" s="21" t="n">
        <v>40</v>
      </c>
      <c r="B43" s="22"/>
      <c r="C43" s="22"/>
      <c r="D43" s="23"/>
      <c r="E43" s="22"/>
      <c r="F43" s="22"/>
      <c r="G43" s="22"/>
      <c r="H43" s="22"/>
      <c r="I43" s="24"/>
      <c r="J43" s="25"/>
      <c r="K43" s="22"/>
      <c r="L43" s="22"/>
      <c r="M43" s="23"/>
      <c r="N43" s="23"/>
      <c r="O43" s="23"/>
      <c r="P43" s="22"/>
      <c r="Q43" s="22"/>
      <c r="R43" s="22"/>
      <c r="S43" s="24"/>
      <c r="T43" s="24"/>
      <c r="U43" s="24"/>
      <c r="V43" s="22"/>
      <c r="W43" s="22"/>
      <c r="X43" s="22"/>
      <c r="Y43" s="24"/>
      <c r="Z43" s="24"/>
      <c r="AA43" s="24"/>
      <c r="AB43" s="19" t="str">
        <f aca="false">IF(B43="","",IF(E43="Y",1,0)+IF(H43="Y",1,0)+IF(K43="Y",1,0)+IF(AND(O43&lt;&gt;"",O43&gt;=0),1,0))</f>
        <v/>
      </c>
      <c r="AC43" s="19" t="str">
        <f aca="false">IF(B43="","",IF(Q43="Y",1,0)+IF(R43="Y",1,0)+IF(AND(S43&lt;&gt;"",S43=0),1,0)+IF(AND(T43&lt;&gt;"",T43&gt;=0.8),1,0)+IF(AND(U43&lt;&gt;"",U43&lt;1),1,0)+IF(AND(V43&lt;&gt;"",V43&gt;=7),1,0)+IF(W43&lt;&gt;"",1,0)+IF(X43="Y",1,0))</f>
        <v/>
      </c>
      <c r="AD43" s="19" t="str">
        <f aca="false">IF(B43="","",IF(AC43=8,"PASS","FAIL"))</f>
        <v/>
      </c>
      <c r="AE43" s="19" t="str">
        <f aca="false">IF(OR(B43="",Y43=""),"",COUNTIFS($Y$3:$Y$52,"&gt;"&amp;Y43,$B$3:$B$52,"&lt;&gt;")+1)</f>
        <v/>
      </c>
      <c r="AF43" s="19" t="str">
        <f aca="false">IF(OR(B43="",Z43=""),"",COUNTIFS($Z$3:$Z$52,"&lt;"&amp;Z43,$B$3:$B$52,"&lt;&gt;")+1)</f>
        <v/>
      </c>
      <c r="AG43" s="20" t="str">
        <f aca="false">IF(B43="","",IF(AD43="FAIL","REJECT",IF(AB43&gt;=3,"SHORTLIST","REVIEW")))</f>
        <v/>
      </c>
    </row>
    <row r="44" customFormat="false" ht="15" hidden="false" customHeight="false" outlineLevel="0" collapsed="false">
      <c r="A44" s="21" t="n">
        <v>41</v>
      </c>
      <c r="B44" s="22"/>
      <c r="C44" s="22"/>
      <c r="D44" s="23"/>
      <c r="E44" s="22"/>
      <c r="F44" s="22"/>
      <c r="G44" s="22"/>
      <c r="H44" s="22"/>
      <c r="I44" s="24"/>
      <c r="J44" s="25"/>
      <c r="K44" s="22"/>
      <c r="L44" s="22"/>
      <c r="M44" s="23"/>
      <c r="N44" s="23"/>
      <c r="O44" s="23"/>
      <c r="P44" s="22"/>
      <c r="Q44" s="22"/>
      <c r="R44" s="22"/>
      <c r="S44" s="24"/>
      <c r="T44" s="24"/>
      <c r="U44" s="24"/>
      <c r="V44" s="22"/>
      <c r="W44" s="22"/>
      <c r="X44" s="22"/>
      <c r="Y44" s="24"/>
      <c r="Z44" s="24"/>
      <c r="AA44" s="24"/>
      <c r="AB44" s="19" t="str">
        <f aca="false">IF(B44="","",IF(E44="Y",1,0)+IF(H44="Y",1,0)+IF(K44="Y",1,0)+IF(AND(O44&lt;&gt;"",O44&gt;=0),1,0))</f>
        <v/>
      </c>
      <c r="AC44" s="19" t="str">
        <f aca="false">IF(B44="","",IF(Q44="Y",1,0)+IF(R44="Y",1,0)+IF(AND(S44&lt;&gt;"",S44=0),1,0)+IF(AND(T44&lt;&gt;"",T44&gt;=0.8),1,0)+IF(AND(U44&lt;&gt;"",U44&lt;1),1,0)+IF(AND(V44&lt;&gt;"",V44&gt;=7),1,0)+IF(W44&lt;&gt;"",1,0)+IF(X44="Y",1,0))</f>
        <v/>
      </c>
      <c r="AD44" s="19" t="str">
        <f aca="false">IF(B44="","",IF(AC44=8,"PASS","FAIL"))</f>
        <v/>
      </c>
      <c r="AE44" s="19" t="str">
        <f aca="false">IF(OR(B44="",Y44=""),"",COUNTIFS($Y$3:$Y$52,"&gt;"&amp;Y44,$B$3:$B$52,"&lt;&gt;")+1)</f>
        <v/>
      </c>
      <c r="AF44" s="19" t="str">
        <f aca="false">IF(OR(B44="",Z44=""),"",COUNTIFS($Z$3:$Z$52,"&lt;"&amp;Z44,$B$3:$B$52,"&lt;&gt;")+1)</f>
        <v/>
      </c>
      <c r="AG44" s="20" t="str">
        <f aca="false">IF(B44="","",IF(AD44="FAIL","REJECT",IF(AB44&gt;=3,"SHORTLIST","REVIEW")))</f>
        <v/>
      </c>
    </row>
    <row r="45" customFormat="false" ht="15" hidden="false" customHeight="false" outlineLevel="0" collapsed="false">
      <c r="A45" s="21" t="n">
        <v>42</v>
      </c>
      <c r="B45" s="22"/>
      <c r="C45" s="22"/>
      <c r="D45" s="23"/>
      <c r="E45" s="22"/>
      <c r="F45" s="22"/>
      <c r="G45" s="22"/>
      <c r="H45" s="22"/>
      <c r="I45" s="24"/>
      <c r="J45" s="25"/>
      <c r="K45" s="22"/>
      <c r="L45" s="22"/>
      <c r="M45" s="23"/>
      <c r="N45" s="23"/>
      <c r="O45" s="23"/>
      <c r="P45" s="22"/>
      <c r="Q45" s="22"/>
      <c r="R45" s="22"/>
      <c r="S45" s="24"/>
      <c r="T45" s="24"/>
      <c r="U45" s="24"/>
      <c r="V45" s="22"/>
      <c r="W45" s="22"/>
      <c r="X45" s="22"/>
      <c r="Y45" s="24"/>
      <c r="Z45" s="24"/>
      <c r="AA45" s="24"/>
      <c r="AB45" s="19" t="str">
        <f aca="false">IF(B45="","",IF(E45="Y",1,0)+IF(H45="Y",1,0)+IF(K45="Y",1,0)+IF(AND(O45&lt;&gt;"",O45&gt;=0),1,0))</f>
        <v/>
      </c>
      <c r="AC45" s="19" t="str">
        <f aca="false">IF(B45="","",IF(Q45="Y",1,0)+IF(R45="Y",1,0)+IF(AND(S45&lt;&gt;"",S45=0),1,0)+IF(AND(T45&lt;&gt;"",T45&gt;=0.8),1,0)+IF(AND(U45&lt;&gt;"",U45&lt;1),1,0)+IF(AND(V45&lt;&gt;"",V45&gt;=7),1,0)+IF(W45&lt;&gt;"",1,0)+IF(X45="Y",1,0))</f>
        <v/>
      </c>
      <c r="AD45" s="19" t="str">
        <f aca="false">IF(B45="","",IF(AC45=8,"PASS","FAIL"))</f>
        <v/>
      </c>
      <c r="AE45" s="19" t="str">
        <f aca="false">IF(OR(B45="",Y45=""),"",COUNTIFS($Y$3:$Y$52,"&gt;"&amp;Y45,$B$3:$B$52,"&lt;&gt;")+1)</f>
        <v/>
      </c>
      <c r="AF45" s="19" t="str">
        <f aca="false">IF(OR(B45="",Z45=""),"",COUNTIFS($Z$3:$Z$52,"&lt;"&amp;Z45,$B$3:$B$52,"&lt;&gt;")+1)</f>
        <v/>
      </c>
      <c r="AG45" s="20" t="str">
        <f aca="false">IF(B45="","",IF(AD45="FAIL","REJECT",IF(AB45&gt;=3,"SHORTLIST","REVIEW")))</f>
        <v/>
      </c>
    </row>
    <row r="46" customFormat="false" ht="15" hidden="false" customHeight="false" outlineLevel="0" collapsed="false">
      <c r="A46" s="21" t="n">
        <v>43</v>
      </c>
      <c r="B46" s="22"/>
      <c r="C46" s="22"/>
      <c r="D46" s="23"/>
      <c r="E46" s="22"/>
      <c r="F46" s="22"/>
      <c r="G46" s="22"/>
      <c r="H46" s="22"/>
      <c r="I46" s="24"/>
      <c r="J46" s="25"/>
      <c r="K46" s="22"/>
      <c r="L46" s="22"/>
      <c r="M46" s="23"/>
      <c r="N46" s="23"/>
      <c r="O46" s="23"/>
      <c r="P46" s="22"/>
      <c r="Q46" s="22"/>
      <c r="R46" s="22"/>
      <c r="S46" s="24"/>
      <c r="T46" s="24"/>
      <c r="U46" s="24"/>
      <c r="V46" s="22"/>
      <c r="W46" s="22"/>
      <c r="X46" s="22"/>
      <c r="Y46" s="24"/>
      <c r="Z46" s="24"/>
      <c r="AA46" s="24"/>
      <c r="AB46" s="19" t="str">
        <f aca="false">IF(B46="","",IF(E46="Y",1,0)+IF(H46="Y",1,0)+IF(K46="Y",1,0)+IF(AND(O46&lt;&gt;"",O46&gt;=0),1,0))</f>
        <v/>
      </c>
      <c r="AC46" s="19" t="str">
        <f aca="false">IF(B46="","",IF(Q46="Y",1,0)+IF(R46="Y",1,0)+IF(AND(S46&lt;&gt;"",S46=0),1,0)+IF(AND(T46&lt;&gt;"",T46&gt;=0.8),1,0)+IF(AND(U46&lt;&gt;"",U46&lt;1),1,0)+IF(AND(V46&lt;&gt;"",V46&gt;=7),1,0)+IF(W46&lt;&gt;"",1,0)+IF(X46="Y",1,0))</f>
        <v/>
      </c>
      <c r="AD46" s="19" t="str">
        <f aca="false">IF(B46="","",IF(AC46=8,"PASS","FAIL"))</f>
        <v/>
      </c>
      <c r="AE46" s="19" t="str">
        <f aca="false">IF(OR(B46="",Y46=""),"",COUNTIFS($Y$3:$Y$52,"&gt;"&amp;Y46,$B$3:$B$52,"&lt;&gt;")+1)</f>
        <v/>
      </c>
      <c r="AF46" s="19" t="str">
        <f aca="false">IF(OR(B46="",Z46=""),"",COUNTIFS($Z$3:$Z$52,"&lt;"&amp;Z46,$B$3:$B$52,"&lt;&gt;")+1)</f>
        <v/>
      </c>
      <c r="AG46" s="20" t="str">
        <f aca="false">IF(B46="","",IF(AD46="FAIL","REJECT",IF(AB46&gt;=3,"SHORTLIST","REVIEW")))</f>
        <v/>
      </c>
    </row>
    <row r="47" customFormat="false" ht="15" hidden="false" customHeight="false" outlineLevel="0" collapsed="false">
      <c r="A47" s="21" t="n">
        <v>44</v>
      </c>
      <c r="B47" s="22"/>
      <c r="C47" s="22"/>
      <c r="D47" s="23"/>
      <c r="E47" s="22"/>
      <c r="F47" s="22"/>
      <c r="G47" s="22"/>
      <c r="H47" s="22"/>
      <c r="I47" s="24"/>
      <c r="J47" s="25"/>
      <c r="K47" s="22"/>
      <c r="L47" s="22"/>
      <c r="M47" s="23"/>
      <c r="N47" s="23"/>
      <c r="O47" s="23"/>
      <c r="P47" s="22"/>
      <c r="Q47" s="22"/>
      <c r="R47" s="22"/>
      <c r="S47" s="24"/>
      <c r="T47" s="24"/>
      <c r="U47" s="24"/>
      <c r="V47" s="22"/>
      <c r="W47" s="22"/>
      <c r="X47" s="22"/>
      <c r="Y47" s="24"/>
      <c r="Z47" s="24"/>
      <c r="AA47" s="24"/>
      <c r="AB47" s="19" t="str">
        <f aca="false">IF(B47="","",IF(E47="Y",1,0)+IF(H47="Y",1,0)+IF(K47="Y",1,0)+IF(AND(O47&lt;&gt;"",O47&gt;=0),1,0))</f>
        <v/>
      </c>
      <c r="AC47" s="19" t="str">
        <f aca="false">IF(B47="","",IF(Q47="Y",1,0)+IF(R47="Y",1,0)+IF(AND(S47&lt;&gt;"",S47=0),1,0)+IF(AND(T47&lt;&gt;"",T47&gt;=0.8),1,0)+IF(AND(U47&lt;&gt;"",U47&lt;1),1,0)+IF(AND(V47&lt;&gt;"",V47&gt;=7),1,0)+IF(W47&lt;&gt;"",1,0)+IF(X47="Y",1,0))</f>
        <v/>
      </c>
      <c r="AD47" s="19" t="str">
        <f aca="false">IF(B47="","",IF(AC47=8,"PASS","FAIL"))</f>
        <v/>
      </c>
      <c r="AE47" s="19" t="str">
        <f aca="false">IF(OR(B47="",Y47=""),"",COUNTIFS($Y$3:$Y$52,"&gt;"&amp;Y47,$B$3:$B$52,"&lt;&gt;")+1)</f>
        <v/>
      </c>
      <c r="AF47" s="19" t="str">
        <f aca="false">IF(OR(B47="",Z47=""),"",COUNTIFS($Z$3:$Z$52,"&lt;"&amp;Z47,$B$3:$B$52,"&lt;&gt;")+1)</f>
        <v/>
      </c>
      <c r="AG47" s="20" t="str">
        <f aca="false">IF(B47="","",IF(AD47="FAIL","REJECT",IF(AB47&gt;=3,"SHORTLIST","REVIEW")))</f>
        <v/>
      </c>
    </row>
    <row r="48" customFormat="false" ht="15" hidden="false" customHeight="false" outlineLevel="0" collapsed="false">
      <c r="A48" s="21" t="n">
        <v>45</v>
      </c>
      <c r="B48" s="22"/>
      <c r="C48" s="22"/>
      <c r="D48" s="23"/>
      <c r="E48" s="22"/>
      <c r="F48" s="22"/>
      <c r="G48" s="22"/>
      <c r="H48" s="22"/>
      <c r="I48" s="24"/>
      <c r="J48" s="25"/>
      <c r="K48" s="22"/>
      <c r="L48" s="22"/>
      <c r="M48" s="23"/>
      <c r="N48" s="23"/>
      <c r="O48" s="23"/>
      <c r="P48" s="22"/>
      <c r="Q48" s="22"/>
      <c r="R48" s="22"/>
      <c r="S48" s="24"/>
      <c r="T48" s="24"/>
      <c r="U48" s="24"/>
      <c r="V48" s="22"/>
      <c r="W48" s="22"/>
      <c r="X48" s="22"/>
      <c r="Y48" s="24"/>
      <c r="Z48" s="24"/>
      <c r="AA48" s="24"/>
      <c r="AB48" s="19" t="str">
        <f aca="false">IF(B48="","",IF(E48="Y",1,0)+IF(H48="Y",1,0)+IF(K48="Y",1,0)+IF(AND(O48&lt;&gt;"",O48&gt;=0),1,0))</f>
        <v/>
      </c>
      <c r="AC48" s="19" t="str">
        <f aca="false">IF(B48="","",IF(Q48="Y",1,0)+IF(R48="Y",1,0)+IF(AND(S48&lt;&gt;"",S48=0),1,0)+IF(AND(T48&lt;&gt;"",T48&gt;=0.8),1,0)+IF(AND(U48&lt;&gt;"",U48&lt;1),1,0)+IF(AND(V48&lt;&gt;"",V48&gt;=7),1,0)+IF(W48&lt;&gt;"",1,0)+IF(X48="Y",1,0))</f>
        <v/>
      </c>
      <c r="AD48" s="19" t="str">
        <f aca="false">IF(B48="","",IF(AC48=8,"PASS","FAIL"))</f>
        <v/>
      </c>
      <c r="AE48" s="19" t="str">
        <f aca="false">IF(OR(B48="",Y48=""),"",COUNTIFS($Y$3:$Y$52,"&gt;"&amp;Y48,$B$3:$B$52,"&lt;&gt;")+1)</f>
        <v/>
      </c>
      <c r="AF48" s="19" t="str">
        <f aca="false">IF(OR(B48="",Z48=""),"",COUNTIFS($Z$3:$Z$52,"&lt;"&amp;Z48,$B$3:$B$52,"&lt;&gt;")+1)</f>
        <v/>
      </c>
      <c r="AG48" s="20" t="str">
        <f aca="false">IF(B48="","",IF(AD48="FAIL","REJECT",IF(AB48&gt;=3,"SHORTLIST","REVIEW")))</f>
        <v/>
      </c>
    </row>
    <row r="49" customFormat="false" ht="15" hidden="false" customHeight="false" outlineLevel="0" collapsed="false">
      <c r="A49" s="21" t="n">
        <v>46</v>
      </c>
      <c r="B49" s="22"/>
      <c r="C49" s="22"/>
      <c r="D49" s="23"/>
      <c r="E49" s="22"/>
      <c r="F49" s="22"/>
      <c r="G49" s="22"/>
      <c r="H49" s="22"/>
      <c r="I49" s="24"/>
      <c r="J49" s="25"/>
      <c r="K49" s="22"/>
      <c r="L49" s="22"/>
      <c r="M49" s="23"/>
      <c r="N49" s="23"/>
      <c r="O49" s="23"/>
      <c r="P49" s="22"/>
      <c r="Q49" s="22"/>
      <c r="R49" s="22"/>
      <c r="S49" s="24"/>
      <c r="T49" s="24"/>
      <c r="U49" s="24"/>
      <c r="V49" s="22"/>
      <c r="W49" s="22"/>
      <c r="X49" s="22"/>
      <c r="Y49" s="24"/>
      <c r="Z49" s="24"/>
      <c r="AA49" s="24"/>
      <c r="AB49" s="19" t="str">
        <f aca="false">IF(B49="","",IF(E49="Y",1,0)+IF(H49="Y",1,0)+IF(K49="Y",1,0)+IF(AND(O49&lt;&gt;"",O49&gt;=0),1,0))</f>
        <v/>
      </c>
      <c r="AC49" s="19" t="str">
        <f aca="false">IF(B49="","",IF(Q49="Y",1,0)+IF(R49="Y",1,0)+IF(AND(S49&lt;&gt;"",S49=0),1,0)+IF(AND(T49&lt;&gt;"",T49&gt;=0.8),1,0)+IF(AND(U49&lt;&gt;"",U49&lt;1),1,0)+IF(AND(V49&lt;&gt;"",V49&gt;=7),1,0)+IF(W49&lt;&gt;"",1,0)+IF(X49="Y",1,0))</f>
        <v/>
      </c>
      <c r="AD49" s="19" t="str">
        <f aca="false">IF(B49="","",IF(AC49=8,"PASS","FAIL"))</f>
        <v/>
      </c>
      <c r="AE49" s="19" t="str">
        <f aca="false">IF(OR(B49="",Y49=""),"",COUNTIFS($Y$3:$Y$52,"&gt;"&amp;Y49,$B$3:$B$52,"&lt;&gt;")+1)</f>
        <v/>
      </c>
      <c r="AF49" s="19" t="str">
        <f aca="false">IF(OR(B49="",Z49=""),"",COUNTIFS($Z$3:$Z$52,"&lt;"&amp;Z49,$B$3:$B$52,"&lt;&gt;")+1)</f>
        <v/>
      </c>
      <c r="AG49" s="20" t="str">
        <f aca="false">IF(B49="","",IF(AD49="FAIL","REJECT",IF(AB49&gt;=3,"SHORTLIST","REVIEW")))</f>
        <v/>
      </c>
    </row>
    <row r="50" customFormat="false" ht="15" hidden="false" customHeight="false" outlineLevel="0" collapsed="false">
      <c r="A50" s="21" t="n">
        <v>47</v>
      </c>
      <c r="B50" s="22"/>
      <c r="C50" s="22"/>
      <c r="D50" s="23"/>
      <c r="E50" s="22"/>
      <c r="F50" s="22"/>
      <c r="G50" s="22"/>
      <c r="H50" s="22"/>
      <c r="I50" s="24"/>
      <c r="J50" s="25"/>
      <c r="K50" s="22"/>
      <c r="L50" s="22"/>
      <c r="M50" s="23"/>
      <c r="N50" s="23"/>
      <c r="O50" s="23"/>
      <c r="P50" s="22"/>
      <c r="Q50" s="22"/>
      <c r="R50" s="22"/>
      <c r="S50" s="24"/>
      <c r="T50" s="24"/>
      <c r="U50" s="24"/>
      <c r="V50" s="22"/>
      <c r="W50" s="22"/>
      <c r="X50" s="22"/>
      <c r="Y50" s="24"/>
      <c r="Z50" s="24"/>
      <c r="AA50" s="24"/>
      <c r="AB50" s="19" t="str">
        <f aca="false">IF(B50="","",IF(E50="Y",1,0)+IF(H50="Y",1,0)+IF(K50="Y",1,0)+IF(AND(O50&lt;&gt;"",O50&gt;=0),1,0))</f>
        <v/>
      </c>
      <c r="AC50" s="19" t="str">
        <f aca="false">IF(B50="","",IF(Q50="Y",1,0)+IF(R50="Y",1,0)+IF(AND(S50&lt;&gt;"",S50=0),1,0)+IF(AND(T50&lt;&gt;"",T50&gt;=0.8),1,0)+IF(AND(U50&lt;&gt;"",U50&lt;1),1,0)+IF(AND(V50&lt;&gt;"",V50&gt;=7),1,0)+IF(W50&lt;&gt;"",1,0)+IF(X50="Y",1,0))</f>
        <v/>
      </c>
      <c r="AD50" s="19" t="str">
        <f aca="false">IF(B50="","",IF(AC50=8,"PASS","FAIL"))</f>
        <v/>
      </c>
      <c r="AE50" s="19" t="str">
        <f aca="false">IF(OR(B50="",Y50=""),"",COUNTIFS($Y$3:$Y$52,"&gt;"&amp;Y50,$B$3:$B$52,"&lt;&gt;")+1)</f>
        <v/>
      </c>
      <c r="AF50" s="19" t="str">
        <f aca="false">IF(OR(B50="",Z50=""),"",COUNTIFS($Z$3:$Z$52,"&lt;"&amp;Z50,$B$3:$B$52,"&lt;&gt;")+1)</f>
        <v/>
      </c>
      <c r="AG50" s="20" t="str">
        <f aca="false">IF(B50="","",IF(AD50="FAIL","REJECT",IF(AB50&gt;=3,"SHORTLIST","REVIEW")))</f>
        <v/>
      </c>
    </row>
    <row r="51" customFormat="false" ht="15" hidden="false" customHeight="false" outlineLevel="0" collapsed="false">
      <c r="A51" s="21" t="n">
        <v>48</v>
      </c>
      <c r="B51" s="22"/>
      <c r="C51" s="22"/>
      <c r="D51" s="23"/>
      <c r="E51" s="22"/>
      <c r="F51" s="22"/>
      <c r="G51" s="22"/>
      <c r="H51" s="22"/>
      <c r="I51" s="24"/>
      <c r="J51" s="25"/>
      <c r="K51" s="22"/>
      <c r="L51" s="22"/>
      <c r="M51" s="23"/>
      <c r="N51" s="23"/>
      <c r="O51" s="23"/>
      <c r="P51" s="22"/>
      <c r="Q51" s="22"/>
      <c r="R51" s="22"/>
      <c r="S51" s="24"/>
      <c r="T51" s="24"/>
      <c r="U51" s="24"/>
      <c r="V51" s="22"/>
      <c r="W51" s="22"/>
      <c r="X51" s="22"/>
      <c r="Y51" s="24"/>
      <c r="Z51" s="24"/>
      <c r="AA51" s="24"/>
      <c r="AB51" s="19" t="str">
        <f aca="false">IF(B51="","",IF(E51="Y",1,0)+IF(H51="Y",1,0)+IF(K51="Y",1,0)+IF(AND(O51&lt;&gt;"",O51&gt;=0),1,0))</f>
        <v/>
      </c>
      <c r="AC51" s="19" t="str">
        <f aca="false">IF(B51="","",IF(Q51="Y",1,0)+IF(R51="Y",1,0)+IF(AND(S51&lt;&gt;"",S51=0),1,0)+IF(AND(T51&lt;&gt;"",T51&gt;=0.8),1,0)+IF(AND(U51&lt;&gt;"",U51&lt;1),1,0)+IF(AND(V51&lt;&gt;"",V51&gt;=7),1,0)+IF(W51&lt;&gt;"",1,0)+IF(X51="Y",1,0))</f>
        <v/>
      </c>
      <c r="AD51" s="19" t="str">
        <f aca="false">IF(B51="","",IF(AC51=8,"PASS","FAIL"))</f>
        <v/>
      </c>
      <c r="AE51" s="19" t="str">
        <f aca="false">IF(OR(B51="",Y51=""),"",COUNTIFS($Y$3:$Y$52,"&gt;"&amp;Y51,$B$3:$B$52,"&lt;&gt;")+1)</f>
        <v/>
      </c>
      <c r="AF51" s="19" t="str">
        <f aca="false">IF(OR(B51="",Z51=""),"",COUNTIFS($Z$3:$Z$52,"&lt;"&amp;Z51,$B$3:$B$52,"&lt;&gt;")+1)</f>
        <v/>
      </c>
      <c r="AG51" s="20" t="str">
        <f aca="false">IF(B51="","",IF(AD51="FAIL","REJECT",IF(AB51&gt;=3,"SHORTLIST","REVIEW")))</f>
        <v/>
      </c>
    </row>
    <row r="52" customFormat="false" ht="15" hidden="false" customHeight="false" outlineLevel="0" collapsed="false">
      <c r="A52" s="21" t="n">
        <v>49</v>
      </c>
      <c r="B52" s="22"/>
      <c r="C52" s="22"/>
      <c r="D52" s="23"/>
      <c r="E52" s="22"/>
      <c r="F52" s="22"/>
      <c r="G52" s="22"/>
      <c r="H52" s="22"/>
      <c r="I52" s="24"/>
      <c r="J52" s="25"/>
      <c r="K52" s="22"/>
      <c r="L52" s="22"/>
      <c r="M52" s="23"/>
      <c r="N52" s="23"/>
      <c r="O52" s="23"/>
      <c r="P52" s="22"/>
      <c r="Q52" s="22"/>
      <c r="R52" s="22"/>
      <c r="S52" s="24"/>
      <c r="T52" s="24"/>
      <c r="U52" s="24"/>
      <c r="V52" s="22"/>
      <c r="W52" s="22"/>
      <c r="X52" s="22"/>
      <c r="Y52" s="24"/>
      <c r="Z52" s="24"/>
      <c r="AA52" s="24"/>
      <c r="AB52" s="19" t="str">
        <f aca="false">IF(B52="","",IF(E52="Y",1,0)+IF(H52="Y",1,0)+IF(K52="Y",1,0)+IF(AND(O52&lt;&gt;"",O52&gt;=0),1,0))</f>
        <v/>
      </c>
      <c r="AC52" s="19" t="str">
        <f aca="false">IF(B52="","",IF(Q52="Y",1,0)+IF(R52="Y",1,0)+IF(AND(S52&lt;&gt;"",S52=0),1,0)+IF(AND(T52&lt;&gt;"",T52&gt;=0.8),1,0)+IF(AND(U52&lt;&gt;"",U52&lt;1),1,0)+IF(AND(V52&lt;&gt;"",V52&gt;=7),1,0)+IF(W52&lt;&gt;"",1,0)+IF(X52="Y",1,0))</f>
        <v/>
      </c>
      <c r="AD52" s="19" t="str">
        <f aca="false">IF(B52="","",IF(AC52=8,"PASS","FAIL"))</f>
        <v/>
      </c>
      <c r="AE52" s="19" t="str">
        <f aca="false">IF(OR(B52="",Y52=""),"",COUNTIFS($Y$3:$Y$52,"&gt;"&amp;Y52,$B$3:$B$52,"&lt;&gt;")+1)</f>
        <v/>
      </c>
      <c r="AF52" s="19" t="str">
        <f aca="false">IF(OR(B52="",Z52=""),"",COUNTIFS($Z$3:$Z$52,"&lt;"&amp;Z52,$B$3:$B$52,"&lt;&gt;")+1)</f>
        <v/>
      </c>
      <c r="AG52" s="20" t="str">
        <f aca="false">IF(B52="","",IF(AD52="FAIL","REJECT",IF(AB52&gt;=3,"SHORTLIST","REVIEW")))</f>
        <v/>
      </c>
    </row>
    <row r="54" customFormat="false" ht="15" hidden="false" customHeight="false" outlineLevel="0" collapsed="false">
      <c r="B54" s="26" t="s">
        <v>191</v>
      </c>
    </row>
    <row r="55" customFormat="false" ht="15" hidden="false" customHeight="false" outlineLevel="0" collapsed="false">
      <c r="B55" s="26" t="s">
        <v>192</v>
      </c>
    </row>
    <row r="56" customFormat="false" ht="15" hidden="false" customHeight="false" outlineLevel="0" collapsed="false">
      <c r="B56" s="26" t="s">
        <v>193</v>
      </c>
    </row>
    <row r="57" customFormat="false" ht="15" hidden="false" customHeight="false" outlineLevel="0" collapsed="false">
      <c r="B57" s="26" t="s">
        <v>194</v>
      </c>
    </row>
  </sheetData>
  <mergeCells count="4">
    <mergeCell ref="E1:P1"/>
    <mergeCell ref="Q1:X1"/>
    <mergeCell ref="Y1:AA1"/>
    <mergeCell ref="AB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2026-07-24T10:01:31Z</dcterms:created>
  <dc:creator>openpyxl</dc:creator>
  <dc:description/>
  <dc:language>en-US</dc:language>
  <cp:lastModifiedBy/>
  <dcterms:modified xsi:type="dcterms:W3CDTF">2026-07-24T10:01:31Z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