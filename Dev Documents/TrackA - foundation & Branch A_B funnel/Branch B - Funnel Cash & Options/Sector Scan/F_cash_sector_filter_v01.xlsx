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tings" sheetId="2" state="visible" r:id="rId4"/>
    <sheet name="Data_Input" sheetId="3" state="visible" r:id="rId5"/>
    <sheet name="Trading_Score" sheetId="4" state="visible" r:id="rId6"/>
    <sheet name="Investing_Score" sheetId="5" state="visible" r:id="rId7"/>
    <sheet name="Final_Rank" sheetId="6" state="visible" r:id="rId8"/>
    <sheet name="Metric_Spec" sheetId="7" state="visible" r:id="rId9"/>
    <sheet name="Macro_Map" sheetId="8" state="visible" r:id="rId10"/>
    <sheet name="Code_Contrac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<sst xmlns="http://schemas.openxmlformats.org/spreadsheetml/2006/main" count="573" uniqueCount="380">
  <si>
    <t xml:space="preserve">F_CASH_SECTOR_FILTER_v01</t>
  </si>
  <si>
    <t xml:space="preserve">Fortuna-Cash | Sector selection layer | Top-down: Market -&gt; Sector -&gt; Stock -&gt; Entry</t>
  </si>
  <si>
    <t xml:space="preserve">PURPOSE</t>
  </si>
  <si>
    <t xml:space="preserve">Rank NSE sectors best-to-worst for (a) swing trading and (b) investing, from objective inputs. Sheet is the spec; column keys in Code_Contract map 1:1 to the Fortuna implementation.</t>
  </si>
  <si>
    <t xml:space="preserve">SHEET ORDER</t>
  </si>
  <si>
    <t xml:space="preserve">1. Settings</t>
  </si>
  <si>
    <t xml:space="preserve">Weights, benchmark returns, thresholds. EDIT HERE to retune the model. Yellow = input.</t>
  </si>
  <si>
    <t xml:space="preserve">2. Data_Input</t>
  </si>
  <si>
    <t xml:space="preserve">Raw per-sector data. This is the only sheet you paste numbers into. Yellow = input.</t>
  </si>
  <si>
    <t xml:space="preserve">3. Trading_Score</t>
  </si>
  <si>
    <t xml:space="preserve">Computed. Relative Strength / Trend / Volume / Breadth / News. Do not edit.</t>
  </si>
  <si>
    <t xml:space="preserve">4. Investing_Score</t>
  </si>
  <si>
    <t xml:space="preserve">Computed. Earnings / Long-term Trend / Valuation / Industry Growth. Do not edit.</t>
  </si>
  <si>
    <t xml:space="preserve">5. Final_Rank</t>
  </si>
  <si>
    <t xml:space="preserve">Computed. Side-by-side trading vs investing rank. This is the output.</t>
  </si>
  <si>
    <t xml:space="preserve">6. Metric_Spec</t>
  </si>
  <si>
    <t xml:space="preserve">Which metrics work at sector level and how each is measured.</t>
  </si>
  <si>
    <t xml:space="preserve">7. Macro_Map</t>
  </si>
  <si>
    <t xml:space="preserve">Macro trigger -&gt; sector lookup. Feeds the News/Catalyst input manually.</t>
  </si>
  <si>
    <t xml:space="preserve">8. Code_Contract</t>
  </si>
  <si>
    <t xml:space="preserve">Field names, types, units, sources. Build the Fortuna module from this sheet.</t>
  </si>
  <si>
    <t xml:space="preserve">COLOUR LEGEND</t>
  </si>
  <si>
    <t xml:space="preserve">Yellow fill / blue text</t>
  </si>
  <si>
    <t xml:space="preserve">Input cell. You (or the data feed) write here.</t>
  </si>
  <si>
    <t xml:space="preserve">Black text</t>
  </si>
  <si>
    <t xml:space="preserve">Formula on this sheet. Do not overwrite.</t>
  </si>
  <si>
    <t xml:space="preserve">Green text</t>
  </si>
  <si>
    <t xml:space="preserve">Formula pulling from another sheet. Do not overwrite.</t>
  </si>
  <si>
    <t xml:space="preserve">UNITS RULE</t>
  </si>
  <si>
    <t xml:space="preserve">All percentage fields are stored as PLAIN NUMBERS, not Excel fractions. 12.4 means 12.4%. This matches raw NSE / screener output and keeps the code contract unambiguous. Do not format these cells as Excel percentages.</t>
  </si>
  <si>
    <t xml:space="preserve">SCORING METHOD</t>
  </si>
  <si>
    <t xml:space="preserve">Two kinds of sub-score, both on a 0-100 scale:</t>
  </si>
  <si>
    <t xml:space="preserve">  Relative (percentile)</t>
  </si>
  <si>
    <t xml:space="preserve">Sector is ranked against the other sectors on that day. Best = 100, worst = 0. Used for Relative Strength, Volume, Earnings Growth, Valuation. Formula: (COUNT - RANK) / (COUNT - 1) * 100.</t>
  </si>
  <si>
    <t xml:space="preserve">  Absolute (checklist)</t>
  </si>
  <si>
    <t xml:space="preserve">Sector is scored against a fixed rule, independent of other sectors. Used for Trend, Breadth, Industry Growth, News. A sector can score 0 even if it is the best of a bad lot.</t>
  </si>
  <si>
    <t xml:space="preserve">MANAGEMENT QUALITY</t>
  </si>
  <si>
    <t xml:space="preserve">Deliberately absent. Not measurable at sector level. It belongs to the stock-selection stage that runs AFTER this filter.</t>
  </si>
  <si>
    <t xml:space="preserve">REFRESH CADENCE</t>
  </si>
  <si>
    <t xml:space="preserve">Returns / trend / volume / breadth: weekly (or daily if automated). Earnings: quarterly, after results season. Valuation: monthly. Industry growth: half-yearly.</t>
  </si>
  <si>
    <t xml:space="preserve">Settings</t>
  </si>
  <si>
    <t xml:space="preserve">Yellow cells are inputs. Weights in each block must sum to 100.</t>
  </si>
  <si>
    <t xml:space="preserve">BENCHMARK RETURNS (Nifty 50, %)</t>
  </si>
  <si>
    <t xml:space="preserve">Nifty 50 return 1M (%)</t>
  </si>
  <si>
    <t xml:space="preserve">Paste from NSE. Used to compute relative strength.</t>
  </si>
  <si>
    <t xml:space="preserve">Nifty 50 return 3M (%)</t>
  </si>
  <si>
    <t xml:space="preserve">Nifty 50 return 6M (%)</t>
  </si>
  <si>
    <t xml:space="preserve">Nifty 50 return 1Y (%)</t>
  </si>
  <si>
    <t xml:space="preserve">TRADING WEIGHTS (%)</t>
  </si>
  <si>
    <t xml:space="preserve">Relative Strength</t>
  </si>
  <si>
    <t xml:space="preserve">Sector vs Nifty 50. The single most predictive input for swing.</t>
  </si>
  <si>
    <t xml:space="preserve">Trend</t>
  </si>
  <si>
    <t xml:space="preserve">Price vs 50/200 EMA + higher-high / higher-low structure.</t>
  </si>
  <si>
    <t xml:space="preserve">Volume</t>
  </si>
  <si>
    <t xml:space="preserve">20d volume expansion + delivery% direction.</t>
  </si>
  <si>
    <t xml:space="preserve">Breadth</t>
  </si>
  <si>
    <t xml:space="preserve">% of constituents above 50 EMA. Catches index carried by 2-3 heavyweights.</t>
  </si>
  <si>
    <t xml:space="preserve">News / Catalyst</t>
  </si>
  <si>
    <t xml:space="preserve">Manual. Budget, RBI, regulation, commodity shock.</t>
  </si>
  <si>
    <t xml:space="preserve">Total (must = 100)</t>
  </si>
  <si>
    <t xml:space="preserve">INVESTING WEIGHTS (%)</t>
  </si>
  <si>
    <t xml:space="preserve">Earnings Growth</t>
  </si>
  <si>
    <t xml:space="preserve">Aggregate revenue + PAT growth YoY of major constituents.</t>
  </si>
  <si>
    <t xml:space="preserve">Long-term Trend</t>
  </si>
  <si>
    <t xml:space="preserve">1Y return, halved if index is below its 200 EMA.</t>
  </si>
  <si>
    <t xml:space="preserve">Valuation</t>
  </si>
  <si>
    <t xml:space="preserve">Sector P/E and P/B vs its OWN 10Y median, not vs other sectors.</t>
  </si>
  <si>
    <t xml:space="preserve">Industry Growth</t>
  </si>
  <si>
    <t xml:space="preserve">Manual 1-5 score from industry reports / govt data.</t>
  </si>
  <si>
    <t xml:space="preserve">Management Quality</t>
  </si>
  <si>
    <t xml:space="preserve">N/A</t>
  </si>
  <si>
    <t xml:space="preserve">Not scoreable at sector level. Evaluated per company in the stock-selection stage after this filter.</t>
  </si>
  <si>
    <t xml:space="preserve">VERDICT THRESHOLDS (total score)</t>
  </si>
  <si>
    <t xml:space="preserve">STRONG if score &gt;=</t>
  </si>
  <si>
    <t xml:space="preserve">Tradeable / investable. Pass to stock-selection stage.</t>
  </si>
  <si>
    <t xml:space="preserve">NEUTRAL if score &gt;=</t>
  </si>
  <si>
    <t xml:space="preserve">Watchlist only. No fresh capital.</t>
  </si>
  <si>
    <t xml:space="preserve">Below NEUTRAL</t>
  </si>
  <si>
    <t xml:space="preserve">AVOID</t>
  </si>
  <si>
    <t xml:space="preserve">Blacklist for long entries this cycle.</t>
  </si>
  <si>
    <t xml:space="preserve">GATE 0 OVERRIDE</t>
  </si>
  <si>
    <t xml:space="preserve">Market regime (1 = risk-on, 0 = risk-off)</t>
  </si>
  <si>
    <t xml:space="preserve">From Fortuna-Cash Gate 0. If 0, every sector verdict is forced to AVOID: in a downtrend the top-ranked sector is only the one falling slowest.</t>
  </si>
  <si>
    <t xml:space="preserve">Data_Input</t>
  </si>
  <si>
    <t xml:space="preserve">The ONLY sheet you paste into. All (%) fields are plain numbers: 12.4 means 12.4%.</t>
  </si>
  <si>
    <t xml:space="preserve">sector_key</t>
  </si>
  <si>
    <t xml:space="preserve">sector_name</t>
  </si>
  <si>
    <t xml:space="preserve">nse_index_symbol</t>
  </si>
  <si>
    <t xml:space="preserve">ret_1m_pct</t>
  </si>
  <si>
    <t xml:space="preserve">ret_3m_pct</t>
  </si>
  <si>
    <t xml:space="preserve">ret_6m_pct</t>
  </si>
  <si>
    <t xml:space="preserve">ret_1y_pct</t>
  </si>
  <si>
    <t xml:space="preserve">close</t>
  </si>
  <si>
    <t xml:space="preserve">ema_50</t>
  </si>
  <si>
    <t xml:space="preserve">ema_200</t>
  </si>
  <si>
    <t xml:space="preserve">hh_hl_flag</t>
  </si>
  <si>
    <t xml:space="preserve">pct_above_50ema</t>
  </si>
  <si>
    <t xml:space="preserve">adv_dec_ratio</t>
  </si>
  <si>
    <t xml:space="preserve">vol_ratio_20d</t>
  </si>
  <si>
    <t xml:space="preserve">delivery_trend</t>
  </si>
  <si>
    <t xml:space="preserve">rev_growth_yoy_pct</t>
  </si>
  <si>
    <t xml:space="preserve">pat_growth_yoy_pct</t>
  </si>
  <si>
    <t xml:space="preserve">pe</t>
  </si>
  <si>
    <t xml:space="preserve">pe_10y_median</t>
  </si>
  <si>
    <t xml:space="preserve">pb</t>
  </si>
  <si>
    <t xml:space="preserve">pb_10y_median</t>
  </si>
  <si>
    <t xml:space="preserve">industry_growth_1_5</t>
  </si>
  <si>
    <t xml:space="preserve">news_catalyst_m2_p2</t>
  </si>
  <si>
    <t xml:space="preserve">BANK</t>
  </si>
  <si>
    <t xml:space="preserve">Nifty Bank</t>
  </si>
  <si>
    <t xml:space="preserve">NIFTY BANK</t>
  </si>
  <si>
    <t xml:space="preserve">FINSRV</t>
  </si>
  <si>
    <t xml:space="preserve">Nifty Financial Services</t>
  </si>
  <si>
    <t xml:space="preserve">NIFTY FIN SERVICE</t>
  </si>
  <si>
    <t xml:space="preserve">PVTBANK</t>
  </si>
  <si>
    <t xml:space="preserve">Nifty Private Bank</t>
  </si>
  <si>
    <t xml:space="preserve">NIFTY PVT BANK</t>
  </si>
  <si>
    <t xml:space="preserve">PSUBANK</t>
  </si>
  <si>
    <t xml:space="preserve">Nifty PSU Bank</t>
  </si>
  <si>
    <t xml:space="preserve">NIFTY PSU BANK</t>
  </si>
  <si>
    <t xml:space="preserve">IT</t>
  </si>
  <si>
    <t xml:space="preserve">Nifty IT</t>
  </si>
  <si>
    <t xml:space="preserve">NIFTY IT</t>
  </si>
  <si>
    <t xml:space="preserve">AUTO</t>
  </si>
  <si>
    <t xml:space="preserve">Nifty Auto</t>
  </si>
  <si>
    <t xml:space="preserve">NIFTY AUTO</t>
  </si>
  <si>
    <t xml:space="preserve">PHARMA</t>
  </si>
  <si>
    <t xml:space="preserve">Nifty Pharma</t>
  </si>
  <si>
    <t xml:space="preserve">NIFTY PHARMA</t>
  </si>
  <si>
    <t xml:space="preserve">HEALTH</t>
  </si>
  <si>
    <t xml:space="preserve">Nifty Healthcare</t>
  </si>
  <si>
    <t xml:space="preserve">NIFTY HEALTHCARE</t>
  </si>
  <si>
    <t xml:space="preserve">FMCG</t>
  </si>
  <si>
    <t xml:space="preserve">Nifty FMCG</t>
  </si>
  <si>
    <t xml:space="preserve">NIFTY FMCG</t>
  </si>
  <si>
    <t xml:space="preserve">METAL</t>
  </si>
  <si>
    <t xml:space="preserve">Nifty Metal</t>
  </si>
  <si>
    <t xml:space="preserve">NIFTY METAL</t>
  </si>
  <si>
    <t xml:space="preserve">REALTY</t>
  </si>
  <si>
    <t xml:space="preserve">Nifty Realty</t>
  </si>
  <si>
    <t xml:space="preserve">NIFTY REALTY</t>
  </si>
  <si>
    <t xml:space="preserve">ENERGY</t>
  </si>
  <si>
    <t xml:space="preserve">Nifty Energy</t>
  </si>
  <si>
    <t xml:space="preserve">NIFTY ENERGY</t>
  </si>
  <si>
    <t xml:space="preserve">OILGAS</t>
  </si>
  <si>
    <t xml:space="preserve">Nifty Oil &amp; Gas</t>
  </si>
  <si>
    <t xml:space="preserve">NIFTY OIL AND GAS</t>
  </si>
  <si>
    <t xml:space="preserve">MEDIA</t>
  </si>
  <si>
    <t xml:space="preserve">Nifty Media</t>
  </si>
  <si>
    <t xml:space="preserve">NIFTY MEDIA</t>
  </si>
  <si>
    <t xml:space="preserve">CONSDUR</t>
  </si>
  <si>
    <t xml:space="preserve">Nifty Consumer Durables</t>
  </si>
  <si>
    <t xml:space="preserve">NIFTY CONSR DURBL</t>
  </si>
  <si>
    <t xml:space="preserve">INFRA</t>
  </si>
  <si>
    <t xml:space="preserve">Nifty Infrastructure</t>
  </si>
  <si>
    <t xml:space="preserve">NIFTY INFRA</t>
  </si>
  <si>
    <t xml:space="preserve">EXAMPLE</t>
  </si>
  <si>
    <t xml:space="preserve">Format reference only - delete or ignore</t>
  </si>
  <si>
    <t xml:space="preserve">FIELD NOTES</t>
  </si>
  <si>
    <t xml:space="preserve">hh_hl_flag: 1 if the sector index is making higher highs AND higher lows on the daily/weekly chart, else 0.</t>
  </si>
  <si>
    <t xml:space="preserve">pct_above_50ema: breadth. Percentage of the sector's constituent stocks trading above their own 50 EMA. 0-100.</t>
  </si>
  <si>
    <t xml:space="preserve">adv_dec_ratio: advancing constituents divided by declining constituents, 5-day average. Reference only, not scored in v01.</t>
  </si>
  <si>
    <t xml:space="preserve">vol_ratio_20d: last-20-session average volume divided by the previous-20-session average volume. &gt;1 = expansion.</t>
  </si>
  <si>
    <t xml:space="preserve">delivery_trend: +1 if sector delivery % is rising over 20 sessions, 0 if flat, -1 if falling.</t>
  </si>
  <si>
    <t xml:space="preserve">rev_growth_yoy_pct / pat_growth_yoy_pct: aggregate of the sector's major constituents, latest reported quarter vs same quarter last year.</t>
  </si>
  <si>
    <t xml:space="preserve">pe / pb: current sector index valuation. pe_10y_median / pb_10y_median: that sector's own 10-year median. Leave pe blank if the sector aggregate PE is negative.</t>
  </si>
  <si>
    <t xml:space="preserve">industry_growth_1_5: manual. 1 = structurally shrinking, 3 = in line with GDP, 5 = multi-year structural tailwind.</t>
  </si>
  <si>
    <t xml:space="preserve">news_catalyst_m2_p2: manual. -2 = major sector-wide negative (adverse regulation, commodity shock), 0 = nothing, +2 = major positive (budget allocation, rate cut cycle start).</t>
  </si>
  <si>
    <t xml:space="preserve">Trading_Score</t>
  </si>
  <si>
    <t xml:space="preserve">Computed sheet. Swing / positional horizon. Do not edit.</t>
  </si>
  <si>
    <t xml:space="preserve">rs_1m</t>
  </si>
  <si>
    <t xml:space="preserve">rs_3m</t>
  </si>
  <si>
    <t xml:space="preserve">rs_6m</t>
  </si>
  <si>
    <t xml:space="preserve">rs_raw</t>
  </si>
  <si>
    <t xml:space="preserve">rs_score</t>
  </si>
  <si>
    <t xml:space="preserve">trend_raw</t>
  </si>
  <si>
    <t xml:space="preserve">trend_score</t>
  </si>
  <si>
    <t xml:space="preserve">vol_raw</t>
  </si>
  <si>
    <t xml:space="preserve">vol_score</t>
  </si>
  <si>
    <t xml:space="preserve">breadth_score</t>
  </si>
  <si>
    <t xml:space="preserve">news_score</t>
  </si>
  <si>
    <t xml:space="preserve">total_score</t>
  </si>
  <si>
    <t xml:space="preserve">rank</t>
  </si>
  <si>
    <t xml:space="preserve">verdict</t>
  </si>
  <si>
    <t xml:space="preserve">rs_raw is a weighted blend: 50% 1M + 30% 3M + 20% 6M relative return. Retune here if the swing holding period changes.</t>
  </si>
  <si>
    <t xml:space="preserve">trend_raw is out of 6: price&gt;50EMA (2), 50EMA&gt;200EMA (2), price&gt;200EMA (1), higher-high/higher-low (1).</t>
  </si>
  <si>
    <t xml:space="preserve">rs_score and vol_score are percentile ranks across the 16 sectors. trend/breadth/news are absolute 0-100.</t>
  </si>
  <si>
    <t xml:space="preserve">Investing_Score</t>
  </si>
  <si>
    <t xml:space="preserve">Computed sheet. 1-3 year horizon. Do not edit.</t>
  </si>
  <si>
    <t xml:space="preserve">earn_raw</t>
  </si>
  <si>
    <t xml:space="preserve">earn_score</t>
  </si>
  <si>
    <t xml:space="preserve">lt_raw</t>
  </si>
  <si>
    <t xml:space="preserve">lt_gate</t>
  </si>
  <si>
    <t xml:space="preserve">lt_score</t>
  </si>
  <si>
    <t xml:space="preserve">pe_rel</t>
  </si>
  <si>
    <t xml:space="preserve">pb_rel</t>
  </si>
  <si>
    <t xml:space="preserve">val_raw</t>
  </si>
  <si>
    <t xml:space="preserve">val_score</t>
  </si>
  <si>
    <t xml:space="preserve">industry_score</t>
  </si>
  <si>
    <t xml:space="preserve">earn_raw weights PAT growth 60% and revenue growth 40%. Revenue alone flatters sectors expanding at the cost of margin.</t>
  </si>
  <si>
    <t xml:space="preserve">lt_gate halves the long-term trend score when the sector index is below its own 200 EMA, even if the 1Y return is high.</t>
  </si>
  <si>
    <t xml:space="preserve">val_raw is the mean of P/E and P/B relative to that sector's OWN 10Y median. Lower is better, so val_score ranks ascending.</t>
  </si>
  <si>
    <t xml:space="preserve">Blank pe or pb (negative sector earnings) drops that leg; if both are blank val_score is 0, not neutral. Verify before trusting the rank.</t>
  </si>
  <si>
    <t xml:space="preserve">Gate 0 is NOT applied here. A market downtrend is an accumulation opportunity for investing, unlike for swing trading.</t>
  </si>
  <si>
    <t xml:space="preserve">Management Quality is deliberately absent. It is a stock-level input for the stage after this filter.</t>
  </si>
  <si>
    <t xml:space="preserve">Final_Rank</t>
  </si>
  <si>
    <t xml:space="preserve">Output sheet. Best to least best. Sort by trade_rank or invest_rank.</t>
  </si>
  <si>
    <t xml:space="preserve">trade_score</t>
  </si>
  <si>
    <t xml:space="preserve">trade_rank</t>
  </si>
  <si>
    <t xml:space="preserve">trade_verdict</t>
  </si>
  <si>
    <t xml:space="preserve">invest_score</t>
  </si>
  <si>
    <t xml:space="preserve">invest_rank</t>
  </si>
  <si>
    <t xml:space="preserve">invest_verdict</t>
  </si>
  <si>
    <t xml:space="preserve">combined_read</t>
  </si>
  <si>
    <t xml:space="preserve">Feed only STRONG rows into the stock-selection stage. NEUTRAL is watchlist. AVOID is blacklisted for long entries this cycle.</t>
  </si>
  <si>
    <t xml:space="preserve">This workbook does not auto-sort. Sort rows 5-20 by trade_rank or invest_rank in Excel, or sort in code before display.</t>
  </si>
  <si>
    <t xml:space="preserve">Metric_Spec</t>
  </si>
  <si>
    <t xml:space="preserve">Which metrics are measurable at sector level, and how.</t>
  </si>
  <si>
    <t xml:space="preserve">metric</t>
  </si>
  <si>
    <t xml:space="preserve">used_for</t>
  </si>
  <si>
    <t xml:space="preserve">sector_level?</t>
  </si>
  <si>
    <t xml:space="preserve">how it is measured</t>
  </si>
  <si>
    <t xml:space="preserve">source</t>
  </si>
  <si>
    <t xml:space="preserve">Trading</t>
  </si>
  <si>
    <t xml:space="preserve">Yes</t>
  </si>
  <si>
    <t xml:space="preserve">Sector index return minus Nifty 50 return over 1M / 3M / 6M. Rising ratio line = outperformance.</t>
  </si>
  <si>
    <t xml:space="preserve">NSE indices page</t>
  </si>
  <si>
    <t xml:space="preserve">Trading + Investing</t>
  </si>
  <si>
    <t xml:space="preserve">Sector index chart: price vs 50 EMA and 200 EMA, 50 above 200, higher highs and higher lows.</t>
  </si>
  <si>
    <t xml:space="preserve">TradingView / Chartink</t>
  </si>
  <si>
    <t xml:space="preserve">Mostly</t>
  </si>
  <si>
    <t xml:space="preserve">Sector index volume, or average volume of the top constituents. Confirm with delivery % direction.</t>
  </si>
  <si>
    <t xml:space="preserve">NSE bhavcopy</t>
  </si>
  <si>
    <t xml:space="preserve">% of constituents above 50 EMA; advancing vs declining count. Guards against a 2-3 stock index move.</t>
  </si>
  <si>
    <t xml:space="preserve">Chartink / bhavcopy</t>
  </si>
  <si>
    <t xml:space="preserve">News / Catalysts</t>
  </si>
  <si>
    <t xml:space="preserve">Sector-wide events: budget, RBI policy, regulation, commodity price, global demand.</t>
  </si>
  <si>
    <t xml:space="preserve">Manual</t>
  </si>
  <si>
    <t xml:space="preserve">Investing</t>
  </si>
  <si>
    <t xml:space="preserve">Aggregate revenue and PAT of the sector's major companies, YoY, latest quarter.</t>
  </si>
  <si>
    <t xml:space="preserve">Screener / Trendlyne</t>
  </si>
  <si>
    <t xml:space="preserve">Multi-year sector index chart. 1Y return, gated on price above the 200 EMA.</t>
  </si>
  <si>
    <t xml:space="preserve">NSE / TradingView</t>
  </si>
  <si>
    <t xml:space="preserve">Sector P/E and P/B against that sector's own 10-year median, not against other sectors.</t>
  </si>
  <si>
    <t xml:space="preserve">NSE indices / Trendlyne</t>
  </si>
  <si>
    <t xml:space="preserve">Industry reports, government data, sector outlook. Scored 1-5 manually.</t>
  </si>
  <si>
    <t xml:space="preserve">No</t>
  </si>
  <si>
    <t xml:space="preserve">Not measurable for a whole sector. Assessed company by company AFTER the best sector is chosen.</t>
  </si>
  <si>
    <t xml:space="preserve">Stock stage, not here</t>
  </si>
  <si>
    <t xml:space="preserve">For trading, almost every sector metric can be ranked objectively.</t>
  </si>
  <si>
    <t xml:space="preserve">For investing, everything can be ranked except management quality, which is evaluated at the stock stage.</t>
  </si>
  <si>
    <t xml:space="preserve">Macro_Map</t>
  </si>
  <si>
    <t xml:space="preserve">Macro trigger to sector lookup. Drives the manual news_catalyst input.</t>
  </si>
  <si>
    <t xml:space="preserve">macro trigger</t>
  </si>
  <si>
    <t xml:space="preserve">direction</t>
  </si>
  <si>
    <t xml:space="preserve">sectors favoured</t>
  </si>
  <si>
    <t xml:space="preserve">sectors hurt</t>
  </si>
  <si>
    <t xml:space="preserve">Interest rates</t>
  </si>
  <si>
    <t xml:space="preserve">Falling</t>
  </si>
  <si>
    <t xml:space="preserve">Bank, Financial Services, Private Bank, Realty, Auto, Consumer Durables</t>
  </si>
  <si>
    <t xml:space="preserve">IT (defensive rotation out)</t>
  </si>
  <si>
    <t xml:space="preserve">Rising</t>
  </si>
  <si>
    <t xml:space="preserve">PSU Bank (NIM expansion early cycle), IT</t>
  </si>
  <si>
    <t xml:space="preserve">Realty, Auto, NBFC-heavy Fin Services</t>
  </si>
  <si>
    <t xml:space="preserve">Crude oil</t>
  </si>
  <si>
    <t xml:space="preserve">Oil marketing, Paints, Aviation, Tyres, Auto, Consumer Durables</t>
  </si>
  <si>
    <t xml:space="preserve">Upstream Oil &amp; Gas, Energy</t>
  </si>
  <si>
    <t xml:space="preserve">OMC, Paints, Aviation, Auto, Tyres</t>
  </si>
  <si>
    <t xml:space="preserve">USD/INR</t>
  </si>
  <si>
    <t xml:space="preserve">Rupee weakening</t>
  </si>
  <si>
    <t xml:space="preserve">IT, Pharma, Textiles, export-led Metal</t>
  </si>
  <si>
    <t xml:space="preserve">Importers, Oil &amp; Gas, Consumer Durables</t>
  </si>
  <si>
    <t xml:space="preserve">Government capex</t>
  </si>
  <si>
    <t xml:space="preserve">Expanding</t>
  </si>
  <si>
    <t xml:space="preserve">Infrastructure, Capital Goods, Cement, Defence, PSU Bank, Metal</t>
  </si>
  <si>
    <t xml:space="preserve">-</t>
  </si>
  <si>
    <t xml:space="preserve">Monsoon / rural income</t>
  </si>
  <si>
    <t xml:space="preserve">Good</t>
  </si>
  <si>
    <t xml:space="preserve">FMCG, Auto (tractors, two-wheelers), Consumer Durables, Fertilisers</t>
  </si>
  <si>
    <t xml:space="preserve">China demand / supply</t>
  </si>
  <si>
    <t xml:space="preserve">Demand up, supply cut</t>
  </si>
  <si>
    <t xml:space="preserve">Metal, Chemicals</t>
  </si>
  <si>
    <t xml:space="preserve">Auto, Consumer Durables (input cost)</t>
  </si>
  <si>
    <t xml:space="preserve">Global growth</t>
  </si>
  <si>
    <t xml:space="preserve">Slowing</t>
  </si>
  <si>
    <t xml:space="preserve">FMCG, Pharma, Healthcare (defensives)</t>
  </si>
  <si>
    <t xml:space="preserve">IT, Metal, Energy</t>
  </si>
  <si>
    <t xml:space="preserve">Union Budget</t>
  </si>
  <si>
    <t xml:space="preserve">Allocation to a sector</t>
  </si>
  <si>
    <t xml:space="preserve">The allocated sector (Infra, Defence, Healthcare, Railways)</t>
  </si>
  <si>
    <t xml:space="preserve">Sectors facing new levies</t>
  </si>
  <si>
    <t xml:space="preserve">Regulation</t>
  </si>
  <si>
    <t xml:space="preserve">Tightening</t>
  </si>
  <si>
    <t xml:space="preserve">The regulated sector (Pharma USFDA, Fin Services, Media)</t>
  </si>
  <si>
    <t xml:space="preserve">Inflation</t>
  </si>
  <si>
    <t xml:space="preserve">Consumer Durables, Auto, FMCG (margin relief)</t>
  </si>
  <si>
    <t xml:space="preserve">Use this to set news_catalyst_m2_p2 in Data_Input. Macro is a confirmation layer, not an entry trigger: it changes conviction and position size, not the signal itself.</t>
  </si>
  <si>
    <t xml:space="preserve">Code_Contract</t>
  </si>
  <si>
    <t xml:space="preserve">Build the Fortuna-Cash sector module from this sheet. Field names match Data_Input headers exactly.</t>
  </si>
  <si>
    <t xml:space="preserve">field</t>
  </si>
  <si>
    <t xml:space="preserve">type</t>
  </si>
  <si>
    <t xml:space="preserve">unit</t>
  </si>
  <si>
    <t xml:space="preserve">refresh</t>
  </si>
  <si>
    <t xml:space="preserve">computation / notes</t>
  </si>
  <si>
    <t xml:space="preserve">str</t>
  </si>
  <si>
    <t xml:space="preserve">static</t>
  </si>
  <si>
    <t xml:space="preserve">never</t>
  </si>
  <si>
    <t xml:space="preserve">Primary key. Uppercase, no spaces.</t>
  </si>
  <si>
    <t xml:space="preserve">Display name.</t>
  </si>
  <si>
    <t xml:space="preserve">NSE index symbol as returned by nsepython / bhavcopy index file.</t>
  </si>
  <si>
    <t xml:space="preserve">float</t>
  </si>
  <si>
    <t xml:space="preserve">percent</t>
  </si>
  <si>
    <t xml:space="preserve">NSE index history</t>
  </si>
  <si>
    <t xml:space="preserve">daily</t>
  </si>
  <si>
    <t xml:space="preserve">(close_t / close_t-21 - 1) * 100.</t>
  </si>
  <si>
    <t xml:space="preserve">63 sessions.</t>
  </si>
  <si>
    <t xml:space="preserve">126 sessions.</t>
  </si>
  <si>
    <t xml:space="preserve">252 sessions.</t>
  </si>
  <si>
    <t xml:space="preserve">index pts</t>
  </si>
  <si>
    <t xml:space="preserve">Latest close of the sector index.</t>
  </si>
  <si>
    <t xml:space="preserve">computed</t>
  </si>
  <si>
    <t xml:space="preserve">50-period EMA on daily closes of the sector index.</t>
  </si>
  <si>
    <t xml:space="preserve">200-period EMA on daily closes.</t>
  </si>
  <si>
    <t xml:space="preserve">int</t>
  </si>
  <si>
    <t xml:space="preserve">0 or 1</t>
  </si>
  <si>
    <t xml:space="preserve">1 if last 2 swing highs ascending AND last 2 swing lows ascending. Swing = 5-bar fractal.</t>
  </si>
  <si>
    <t xml:space="preserve">bhavcopy + constituents</t>
  </si>
  <si>
    <t xml:space="preserve">count(constituents with close &gt; own 50 EMA) / count(constituents) * 100.</t>
  </si>
  <si>
    <t xml:space="preserve">ratio</t>
  </si>
  <si>
    <t xml:space="preserve">5-day mean of advancers / decliners. Stored, not scored in v01.</t>
  </si>
  <si>
    <t xml:space="preserve">NSE index / constituents</t>
  </si>
  <si>
    <t xml:space="preserve">mean(vol last 20) / mean(vol prior 20). Guard zero denominator.</t>
  </si>
  <si>
    <t xml:space="preserve">-1 / 0 / +1</t>
  </si>
  <si>
    <t xml:space="preserve">bhavcopy DELIV_PER</t>
  </si>
  <si>
    <t xml:space="preserve">Sign of the 20-session linear-regression slope of sector-weighted delivery %. Dead zone +/- 0.05 maps to 0.</t>
  </si>
  <si>
    <t xml:space="preserve">screener / fundamentals</t>
  </si>
  <si>
    <t xml:space="preserve">quarterly</t>
  </si>
  <si>
    <t xml:space="preserve">Sum of constituent revenue this quarter vs same quarter last year.</t>
  </si>
  <si>
    <t xml:space="preserve">Same for PAT. Cap outliers at +/- 200 before aggregating.</t>
  </si>
  <si>
    <t xml:space="preserve">x</t>
  </si>
  <si>
    <t xml:space="preserve">NSE index PE</t>
  </si>
  <si>
    <t xml:space="preserve">monthly</t>
  </si>
  <si>
    <t xml:space="preserve">Sector index P/E. Null if negative aggregate earnings.</t>
  </si>
  <si>
    <t xml:space="preserve">computed history</t>
  </si>
  <si>
    <t xml:space="preserve">yearly</t>
  </si>
  <si>
    <t xml:space="preserve">Median of the sector's monthly P/E over 10 years.</t>
  </si>
  <si>
    <t xml:space="preserve">NSE index PB</t>
  </si>
  <si>
    <t xml:space="preserve">Sector index P/B.</t>
  </si>
  <si>
    <t xml:space="preserve">Median of the sector's monthly P/B over 10 years.</t>
  </si>
  <si>
    <t xml:space="preserve">1-5</t>
  </si>
  <si>
    <t xml:space="preserve">manual</t>
  </si>
  <si>
    <t xml:space="preserve">half-yearly</t>
  </si>
  <si>
    <t xml:space="preserve">1 = shrinking, 3 = GDP-like, 5 = structural tailwind.</t>
  </si>
  <si>
    <t xml:space="preserve">-2 to +2</t>
  </si>
  <si>
    <t xml:space="preserve">as it happens</t>
  </si>
  <si>
    <t xml:space="preserve">Set from Macro_Map. Decays to 0 after 20 sessions unless renewed.</t>
  </si>
  <si>
    <t xml:space="preserve">OUTPUTS</t>
  </si>
  <si>
    <t xml:space="preserve">0-100</t>
  </si>
  <si>
    <t xml:space="preserve">percentile_rank(0.5*rs_1m + 0.3*rs_3m + 0.2*rs_6m) across sectors, descending.</t>
  </si>
  <si>
    <t xml:space="preserve">((close&gt;ema50)*2 + (ema50&gt;ema200)*2 + (close&gt;ema200)*1 + hh_hl) / 6 * 100.</t>
  </si>
  <si>
    <t xml:space="preserve">percentile_rank(vol_ratio_20d + 0.10 * delivery_trend), descending.</t>
  </si>
  <si>
    <t xml:space="preserve">clamp(pct_above_50ema, 0, 100).</t>
  </si>
  <si>
    <t xml:space="preserve">event</t>
  </si>
  <si>
    <t xml:space="preserve">(news_catalyst + 2) / 4 * 100.</t>
  </si>
  <si>
    <t xml:space="preserve">Weighted sum using Settings trading weights, divided by 100.</t>
  </si>
  <si>
    <t xml:space="preserve">percentile_rank(0.4*rev_growth + 0.6*pat_growth), descending.</t>
  </si>
  <si>
    <t xml:space="preserve">percentile_rank(ret_1y) * (1 if close&gt;ema_200 else 0.5).</t>
  </si>
  <si>
    <t xml:space="preserve">percentile_rank(mean(pe/pe_median, pb/pb_median)) ASCENDING. 0 if both legs null.</t>
  </si>
  <si>
    <t xml:space="preserve">(industry_growth_1_5 - 1) / 4 * 100.</t>
  </si>
  <si>
    <t xml:space="preserve">Weighted sum using Settings investing weights, divided by 100.</t>
  </si>
  <si>
    <t xml:space="preserve">enum</t>
  </si>
  <si>
    <t xml:space="preserve">STRONG &gt;= 65, NEUTRAL &gt;= 45, else AVOID. Trading verdict forced to AVOID when gate0_regime = 0.</t>
  </si>
  <si>
    <t xml:space="preserve">HELPER</t>
  </si>
  <si>
    <t xml:space="preserve">percentile_rank(x)</t>
  </si>
  <si>
    <t xml:space="preserve">func</t>
  </si>
  <si>
    <t xml:space="preserve">(n - rank(x)) / (n - 1) * 100, where rank 1 = best. Pass ascending=True for metrics where lower is better.</t>
  </si>
  <si>
    <t xml:space="preserve">gate0_regime</t>
  </si>
  <si>
    <t xml:space="preserve">Fortuna-Cash Gate 0</t>
  </si>
  <si>
    <t xml:space="preserve">Market mood gate. Sector rank is a relative filter and is not permission to be long.</t>
  </si>
  <si>
    <t xml:space="preserve">Order of operations in code: gate0_regime -&gt; load Data_Input fields -&gt; compute sub-scores -&gt; weighted totals -&gt; rank -&gt; verdict -&gt; pass STRONG sectors to stock-selection stage.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</si>
</sst>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C2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A1C20"/>
      <name val="Arial"/>
      <family val="0"/>
      <charset val="1"/>
    </font>
    <font>
      <sz val="10"/>
      <color rgb="FF1A1C2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EF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3506E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4CB"/>
      </left>
      <right style="thin">
        <color rgb="FFBFC4CB"/>
      </right>
      <top style="thin">
        <color rgb="FFBFC4CB"/>
      </top>
      <bottom style="thin">
        <color rgb="FFBFC4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B"/>
      <rgbColor rgb="FF808080"/>
      <rgbColor rgb="FF9999FF"/>
      <rgbColor rgb="FF993366"/>
      <rgbColor rgb="FFEDEF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506E"/>
      <rgbColor rgb="FF1A1C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3" t="s">
        <v>4</v>
      </c>
      <c r="B6" s="4"/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4"/>
      <c r="B15" s="4"/>
    </row>
    <row r="16" customFormat="false" ht="15" hidden="false" customHeight="false" outlineLevel="0" collapsed="false">
      <c r="A16" s="3" t="s">
        <v>21</v>
      </c>
      <c r="B16" s="4"/>
    </row>
    <row r="17" customFormat="false" ht="15" hidden="false" customHeight="false" outlineLevel="0" collapsed="false">
      <c r="A17" s="3" t="s">
        <v>22</v>
      </c>
      <c r="B17" s="4" t="s">
        <v>23</v>
      </c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4"/>
      <c r="B20" s="4"/>
    </row>
    <row r="21" customFormat="false" ht="23.85" hidden="false" customHeight="false" outlineLevel="0" collapsed="false">
      <c r="A21" s="3" t="s">
        <v>28</v>
      </c>
      <c r="B21" s="4" t="s">
        <v>29</v>
      </c>
    </row>
    <row r="22" customFormat="false" ht="15" hidden="false" customHeight="false" outlineLevel="0" collapsed="false">
      <c r="A22" s="4"/>
      <c r="B22" s="4"/>
    </row>
    <row r="23" customFormat="false" ht="15" hidden="false" customHeight="false" outlineLevel="0" collapsed="false">
      <c r="A23" s="3" t="s">
        <v>30</v>
      </c>
      <c r="B23" s="4" t="s">
        <v>31</v>
      </c>
    </row>
    <row r="24" customFormat="false" ht="23.85" hidden="false" customHeight="false" outlineLevel="0" collapsed="false">
      <c r="A24" s="4" t="s">
        <v>32</v>
      </c>
      <c r="B24" s="4" t="s">
        <v>33</v>
      </c>
    </row>
    <row r="25" customFormat="false" ht="23.85" hidden="false" customHeight="false" outlineLevel="0" collapsed="false">
      <c r="A25" s="4" t="s">
        <v>34</v>
      </c>
      <c r="B25" s="4" t="s">
        <v>35</v>
      </c>
    </row>
    <row r="26" customFormat="false" ht="15" hidden="false" customHeight="false" outlineLevel="0" collapsed="false">
      <c r="A26" s="4"/>
      <c r="B26" s="4"/>
    </row>
    <row r="27" customFormat="false" ht="15" hidden="false" customHeight="false" outlineLevel="0" collapsed="false">
      <c r="A27" s="3" t="s">
        <v>36</v>
      </c>
      <c r="B27" s="4" t="s">
        <v>37</v>
      </c>
    </row>
    <row r="28" customFormat="false" ht="15" hidden="false" customHeight="false" outlineLevel="0" collapsed="false">
      <c r="A28" s="4"/>
      <c r="B28" s="4"/>
    </row>
    <row r="29" customFormat="false" ht="23.85" hidden="false" customHeight="false" outlineLevel="0" collapsed="false">
      <c r="A29" s="3" t="s">
        <v>38</v>
      </c>
      <c r="B29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5" t="s">
        <v>42</v>
      </c>
      <c r="B4" s="6"/>
      <c r="C4" s="6"/>
    </row>
    <row r="5" customFormat="false" ht="15" hidden="false" customHeight="false" outlineLevel="0" collapsed="false">
      <c r="A5" s="7" t="s">
        <v>43</v>
      </c>
      <c r="B5" s="8" t="n">
        <v>0</v>
      </c>
      <c r="C5" s="2" t="s">
        <v>44</v>
      </c>
    </row>
    <row r="6" customFormat="false" ht="15" hidden="false" customHeight="false" outlineLevel="0" collapsed="false">
      <c r="A6" s="7" t="s">
        <v>45</v>
      </c>
      <c r="B6" s="8" t="n">
        <v>0</v>
      </c>
      <c r="C6" s="2"/>
    </row>
    <row r="7" customFormat="false" ht="15" hidden="false" customHeight="false" outlineLevel="0" collapsed="false">
      <c r="A7" s="7" t="s">
        <v>46</v>
      </c>
      <c r="B7" s="8" t="n">
        <v>0</v>
      </c>
      <c r="C7" s="2"/>
    </row>
    <row r="8" customFormat="false" ht="15" hidden="false" customHeight="false" outlineLevel="0" collapsed="false">
      <c r="A8" s="7" t="s">
        <v>47</v>
      </c>
      <c r="B8" s="8" t="n">
        <v>0</v>
      </c>
      <c r="C8" s="2"/>
    </row>
    <row r="10" customFormat="false" ht="15" hidden="false" customHeight="false" outlineLevel="0" collapsed="false">
      <c r="A10" s="5" t="s">
        <v>48</v>
      </c>
      <c r="B10" s="6"/>
      <c r="C10" s="6"/>
    </row>
    <row r="11" customFormat="false" ht="15" hidden="false" customHeight="false" outlineLevel="0" collapsed="false">
      <c r="A11" s="7" t="s">
        <v>49</v>
      </c>
      <c r="B11" s="9" t="n">
        <v>35</v>
      </c>
      <c r="C11" s="2" t="s">
        <v>50</v>
      </c>
    </row>
    <row r="12" customFormat="false" ht="15" hidden="false" customHeight="false" outlineLevel="0" collapsed="false">
      <c r="A12" s="7" t="s">
        <v>51</v>
      </c>
      <c r="B12" s="9" t="n">
        <v>25</v>
      </c>
      <c r="C12" s="2" t="s">
        <v>52</v>
      </c>
    </row>
    <row r="13" customFormat="false" ht="15" hidden="false" customHeight="false" outlineLevel="0" collapsed="false">
      <c r="A13" s="7" t="s">
        <v>53</v>
      </c>
      <c r="B13" s="9" t="n">
        <v>20</v>
      </c>
      <c r="C13" s="2" t="s">
        <v>54</v>
      </c>
    </row>
    <row r="14" customFormat="false" ht="15" hidden="false" customHeight="false" outlineLevel="0" collapsed="false">
      <c r="A14" s="7" t="s">
        <v>55</v>
      </c>
      <c r="B14" s="9" t="n">
        <v>15</v>
      </c>
      <c r="C14" s="2" t="s">
        <v>56</v>
      </c>
    </row>
    <row r="15" customFormat="false" ht="15" hidden="false" customHeight="false" outlineLevel="0" collapsed="false">
      <c r="A15" s="7" t="s">
        <v>57</v>
      </c>
      <c r="B15" s="9" t="n">
        <v>5</v>
      </c>
      <c r="C15" s="2" t="s">
        <v>58</v>
      </c>
    </row>
    <row r="16" customFormat="false" ht="15" hidden="false" customHeight="false" outlineLevel="0" collapsed="false">
      <c r="A16" s="10" t="s">
        <v>59</v>
      </c>
      <c r="B16" s="10" t="n">
        <f aca="false">SUM(B11:B15)</f>
        <v>100</v>
      </c>
      <c r="C16" s="10" t="str">
        <f aca="false">IF(B16=100,"OK","FIX: trading weights do not sum to 100")</f>
        <v>OK</v>
      </c>
    </row>
    <row r="18" customFormat="false" ht="15" hidden="false" customHeight="false" outlineLevel="0" collapsed="false">
      <c r="A18" s="5" t="s">
        <v>60</v>
      </c>
      <c r="B18" s="6"/>
      <c r="C18" s="6"/>
    </row>
    <row r="19" customFormat="false" ht="15" hidden="false" customHeight="false" outlineLevel="0" collapsed="false">
      <c r="A19" s="7" t="s">
        <v>61</v>
      </c>
      <c r="B19" s="9" t="n">
        <v>35</v>
      </c>
      <c r="C19" s="2" t="s">
        <v>62</v>
      </c>
    </row>
    <row r="20" customFormat="false" ht="15" hidden="false" customHeight="false" outlineLevel="0" collapsed="false">
      <c r="A20" s="7" t="s">
        <v>63</v>
      </c>
      <c r="B20" s="9" t="n">
        <v>25</v>
      </c>
      <c r="C20" s="2" t="s">
        <v>64</v>
      </c>
    </row>
    <row r="21" customFormat="false" ht="15" hidden="false" customHeight="false" outlineLevel="0" collapsed="false">
      <c r="A21" s="7" t="s">
        <v>65</v>
      </c>
      <c r="B21" s="9" t="n">
        <v>20</v>
      </c>
      <c r="C21" s="2" t="s">
        <v>66</v>
      </c>
    </row>
    <row r="22" customFormat="false" ht="15" hidden="false" customHeight="false" outlineLevel="0" collapsed="false">
      <c r="A22" s="7" t="s">
        <v>67</v>
      </c>
      <c r="B22" s="9" t="n">
        <v>20</v>
      </c>
      <c r="C22" s="2" t="s">
        <v>68</v>
      </c>
    </row>
    <row r="23" customFormat="false" ht="15" hidden="false" customHeight="false" outlineLevel="0" collapsed="false">
      <c r="A23" s="10" t="s">
        <v>59</v>
      </c>
      <c r="B23" s="10" t="n">
        <f aca="false">SUM(B19:B22)</f>
        <v>100</v>
      </c>
      <c r="C23" s="10" t="str">
        <f aca="false">IF(B23=100,"OK","FIX: investing weights do not sum to 100")</f>
        <v>OK</v>
      </c>
    </row>
    <row r="24" customFormat="false" ht="15" hidden="false" customHeight="false" outlineLevel="0" collapsed="false">
      <c r="A24" s="7" t="s">
        <v>69</v>
      </c>
      <c r="B24" s="2" t="s">
        <v>70</v>
      </c>
      <c r="C24" s="2" t="s">
        <v>71</v>
      </c>
    </row>
    <row r="26" customFormat="false" ht="15" hidden="false" customHeight="false" outlineLevel="0" collapsed="false">
      <c r="A26" s="5" t="s">
        <v>72</v>
      </c>
      <c r="B26" s="6"/>
      <c r="C26" s="6"/>
    </row>
    <row r="27" customFormat="false" ht="15" hidden="false" customHeight="false" outlineLevel="0" collapsed="false">
      <c r="A27" s="7" t="s">
        <v>73</v>
      </c>
      <c r="B27" s="11" t="n">
        <v>65</v>
      </c>
      <c r="C27" s="2" t="s">
        <v>74</v>
      </c>
    </row>
    <row r="28" customFormat="false" ht="15" hidden="false" customHeight="false" outlineLevel="0" collapsed="false">
      <c r="A28" s="7" t="s">
        <v>75</v>
      </c>
      <c r="B28" s="11" t="n">
        <v>45</v>
      </c>
      <c r="C28" s="2" t="s">
        <v>76</v>
      </c>
    </row>
    <row r="29" customFormat="false" ht="15" hidden="false" customHeight="false" outlineLevel="0" collapsed="false">
      <c r="A29" s="7" t="s">
        <v>77</v>
      </c>
      <c r="B29" s="2" t="s">
        <v>78</v>
      </c>
      <c r="C29" s="2" t="s">
        <v>79</v>
      </c>
    </row>
    <row r="31" customFormat="false" ht="15" hidden="false" customHeight="false" outlineLevel="0" collapsed="false">
      <c r="A31" s="5" t="s">
        <v>80</v>
      </c>
      <c r="B31" s="6"/>
      <c r="C31" s="6"/>
    </row>
    <row r="32" customFormat="false" ht="15" hidden="false" customHeight="false" outlineLevel="0" collapsed="false">
      <c r="A32" s="7" t="s">
        <v>81</v>
      </c>
      <c r="B32" s="11" t="n">
        <v>1</v>
      </c>
      <c r="C32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10" min="4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7" min="16" style="0" width="14"/>
    <col collapsed="false" customWidth="true" hidden="false" outlineLevel="0" max="18" min="18" style="0" width="9"/>
    <col collapsed="false" customWidth="true" hidden="false" outlineLevel="0" max="19" min="19" style="0" width="13"/>
    <col collapsed="false" customWidth="true" hidden="false" outlineLevel="0" max="20" min="20" style="0" width="9"/>
    <col collapsed="false" customWidth="true" hidden="false" outlineLevel="0" max="22" min="21" style="0" width="13"/>
    <col collapsed="false" customWidth="true" hidden="false" outlineLevel="0" max="23" min="23" style="0" width="14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31.5" hidden="false" customHeight="true" outlineLevel="0" collapsed="false">
      <c r="A4" s="12" t="s">
        <v>85</v>
      </c>
      <c r="B4" s="12" t="s">
        <v>86</v>
      </c>
      <c r="C4" s="12" t="s">
        <v>87</v>
      </c>
      <c r="D4" s="12" t="s">
        <v>88</v>
      </c>
      <c r="E4" s="12" t="s">
        <v>89</v>
      </c>
      <c r="F4" s="12" t="s">
        <v>90</v>
      </c>
      <c r="G4" s="12" t="s">
        <v>91</v>
      </c>
      <c r="H4" s="12" t="s">
        <v>92</v>
      </c>
      <c r="I4" s="12" t="s">
        <v>93</v>
      </c>
      <c r="J4" s="12" t="s">
        <v>94</v>
      </c>
      <c r="K4" s="12" t="s">
        <v>95</v>
      </c>
      <c r="L4" s="12" t="s">
        <v>96</v>
      </c>
      <c r="M4" s="12" t="s">
        <v>97</v>
      </c>
      <c r="N4" s="12" t="s">
        <v>98</v>
      </c>
      <c r="O4" s="12" t="s">
        <v>99</v>
      </c>
      <c r="P4" s="12" t="s">
        <v>100</v>
      </c>
      <c r="Q4" s="12" t="s">
        <v>101</v>
      </c>
      <c r="R4" s="12" t="s">
        <v>102</v>
      </c>
      <c r="S4" s="12" t="s">
        <v>103</v>
      </c>
      <c r="T4" s="12" t="s">
        <v>104</v>
      </c>
      <c r="U4" s="12" t="s">
        <v>105</v>
      </c>
      <c r="V4" s="12" t="s">
        <v>106</v>
      </c>
      <c r="W4" s="12" t="s">
        <v>107</v>
      </c>
    </row>
    <row r="5" customFormat="false" ht="15" hidden="false" customHeight="false" outlineLevel="0" collapsed="false">
      <c r="A5" s="13" t="s">
        <v>108</v>
      </c>
      <c r="B5" s="14" t="s">
        <v>109</v>
      </c>
      <c r="C5" s="14" t="s">
        <v>110</v>
      </c>
      <c r="D5" s="15"/>
      <c r="E5" s="15"/>
      <c r="F5" s="15"/>
      <c r="G5" s="15"/>
      <c r="H5" s="15"/>
      <c r="I5" s="15"/>
      <c r="J5" s="15"/>
      <c r="K5" s="16"/>
      <c r="L5" s="15"/>
      <c r="M5" s="15"/>
      <c r="N5" s="15"/>
      <c r="O5" s="16"/>
      <c r="P5" s="15"/>
      <c r="Q5" s="15"/>
      <c r="R5" s="15"/>
      <c r="S5" s="15"/>
      <c r="T5" s="15"/>
      <c r="U5" s="15"/>
      <c r="V5" s="16"/>
      <c r="W5" s="16"/>
    </row>
    <row r="6" customFormat="false" ht="15" hidden="false" customHeight="false" outlineLevel="0" collapsed="false">
      <c r="A6" s="13" t="s">
        <v>111</v>
      </c>
      <c r="B6" s="14" t="s">
        <v>112</v>
      </c>
      <c r="C6" s="14" t="s">
        <v>113</v>
      </c>
      <c r="D6" s="15"/>
      <c r="E6" s="15"/>
      <c r="F6" s="15"/>
      <c r="G6" s="15"/>
      <c r="H6" s="15"/>
      <c r="I6" s="15"/>
      <c r="J6" s="15"/>
      <c r="K6" s="16"/>
      <c r="L6" s="15"/>
      <c r="M6" s="15"/>
      <c r="N6" s="15"/>
      <c r="O6" s="16"/>
      <c r="P6" s="15"/>
      <c r="Q6" s="15"/>
      <c r="R6" s="15"/>
      <c r="S6" s="15"/>
      <c r="T6" s="15"/>
      <c r="U6" s="15"/>
      <c r="V6" s="16"/>
      <c r="W6" s="16"/>
    </row>
    <row r="7" customFormat="false" ht="15" hidden="false" customHeight="false" outlineLevel="0" collapsed="false">
      <c r="A7" s="13" t="s">
        <v>114</v>
      </c>
      <c r="B7" s="14" t="s">
        <v>115</v>
      </c>
      <c r="C7" s="14" t="s">
        <v>116</v>
      </c>
      <c r="D7" s="15"/>
      <c r="E7" s="15"/>
      <c r="F7" s="15"/>
      <c r="G7" s="15"/>
      <c r="H7" s="15"/>
      <c r="I7" s="15"/>
      <c r="J7" s="15"/>
      <c r="K7" s="16"/>
      <c r="L7" s="15"/>
      <c r="M7" s="15"/>
      <c r="N7" s="15"/>
      <c r="O7" s="16"/>
      <c r="P7" s="15"/>
      <c r="Q7" s="15"/>
      <c r="R7" s="15"/>
      <c r="S7" s="15"/>
      <c r="T7" s="15"/>
      <c r="U7" s="15"/>
      <c r="V7" s="16"/>
      <c r="W7" s="16"/>
    </row>
    <row r="8" customFormat="false" ht="15" hidden="false" customHeight="false" outlineLevel="0" collapsed="false">
      <c r="A8" s="13" t="s">
        <v>117</v>
      </c>
      <c r="B8" s="14" t="s">
        <v>118</v>
      </c>
      <c r="C8" s="14" t="s">
        <v>119</v>
      </c>
      <c r="D8" s="15"/>
      <c r="E8" s="15"/>
      <c r="F8" s="15"/>
      <c r="G8" s="15"/>
      <c r="H8" s="15"/>
      <c r="I8" s="15"/>
      <c r="J8" s="15"/>
      <c r="K8" s="16"/>
      <c r="L8" s="15"/>
      <c r="M8" s="15"/>
      <c r="N8" s="15"/>
      <c r="O8" s="16"/>
      <c r="P8" s="15"/>
      <c r="Q8" s="15"/>
      <c r="R8" s="15"/>
      <c r="S8" s="15"/>
      <c r="T8" s="15"/>
      <c r="U8" s="15"/>
      <c r="V8" s="16"/>
      <c r="W8" s="16"/>
    </row>
    <row r="9" customFormat="false" ht="15" hidden="false" customHeight="false" outlineLevel="0" collapsed="false">
      <c r="A9" s="13" t="s">
        <v>120</v>
      </c>
      <c r="B9" s="14" t="s">
        <v>121</v>
      </c>
      <c r="C9" s="14" t="s">
        <v>122</v>
      </c>
      <c r="D9" s="15"/>
      <c r="E9" s="15"/>
      <c r="F9" s="15"/>
      <c r="G9" s="15"/>
      <c r="H9" s="15"/>
      <c r="I9" s="15"/>
      <c r="J9" s="15"/>
      <c r="K9" s="16"/>
      <c r="L9" s="15"/>
      <c r="M9" s="15"/>
      <c r="N9" s="15"/>
      <c r="O9" s="16"/>
      <c r="P9" s="15"/>
      <c r="Q9" s="15"/>
      <c r="R9" s="15"/>
      <c r="S9" s="15"/>
      <c r="T9" s="15"/>
      <c r="U9" s="15"/>
      <c r="V9" s="16"/>
      <c r="W9" s="16"/>
    </row>
    <row r="10" customFormat="false" ht="15" hidden="false" customHeight="false" outlineLevel="0" collapsed="false">
      <c r="A10" s="13" t="s">
        <v>123</v>
      </c>
      <c r="B10" s="14" t="s">
        <v>124</v>
      </c>
      <c r="C10" s="14" t="s">
        <v>125</v>
      </c>
      <c r="D10" s="15"/>
      <c r="E10" s="15"/>
      <c r="F10" s="15"/>
      <c r="G10" s="15"/>
      <c r="H10" s="15"/>
      <c r="I10" s="15"/>
      <c r="J10" s="15"/>
      <c r="K10" s="16"/>
      <c r="L10" s="15"/>
      <c r="M10" s="15"/>
      <c r="N10" s="15"/>
      <c r="O10" s="16"/>
      <c r="P10" s="15"/>
      <c r="Q10" s="15"/>
      <c r="R10" s="15"/>
      <c r="S10" s="15"/>
      <c r="T10" s="15"/>
      <c r="U10" s="15"/>
      <c r="V10" s="16"/>
      <c r="W10" s="16"/>
    </row>
    <row r="11" customFormat="false" ht="15" hidden="false" customHeight="false" outlineLevel="0" collapsed="false">
      <c r="A11" s="13" t="s">
        <v>126</v>
      </c>
      <c r="B11" s="14" t="s">
        <v>127</v>
      </c>
      <c r="C11" s="14" t="s">
        <v>128</v>
      </c>
      <c r="D11" s="15"/>
      <c r="E11" s="15"/>
      <c r="F11" s="15"/>
      <c r="G11" s="15"/>
      <c r="H11" s="15"/>
      <c r="I11" s="15"/>
      <c r="J11" s="15"/>
      <c r="K11" s="16"/>
      <c r="L11" s="15"/>
      <c r="M11" s="15"/>
      <c r="N11" s="15"/>
      <c r="O11" s="16"/>
      <c r="P11" s="15"/>
      <c r="Q11" s="15"/>
      <c r="R11" s="15"/>
      <c r="S11" s="15"/>
      <c r="T11" s="15"/>
      <c r="U11" s="15"/>
      <c r="V11" s="16"/>
      <c r="W11" s="16"/>
    </row>
    <row r="12" customFormat="false" ht="15" hidden="false" customHeight="false" outlineLevel="0" collapsed="false">
      <c r="A12" s="13" t="s">
        <v>129</v>
      </c>
      <c r="B12" s="14" t="s">
        <v>130</v>
      </c>
      <c r="C12" s="14" t="s">
        <v>131</v>
      </c>
      <c r="D12" s="15"/>
      <c r="E12" s="15"/>
      <c r="F12" s="15"/>
      <c r="G12" s="15"/>
      <c r="H12" s="15"/>
      <c r="I12" s="15"/>
      <c r="J12" s="15"/>
      <c r="K12" s="16"/>
      <c r="L12" s="15"/>
      <c r="M12" s="15"/>
      <c r="N12" s="15"/>
      <c r="O12" s="16"/>
      <c r="P12" s="15"/>
      <c r="Q12" s="15"/>
      <c r="R12" s="15"/>
      <c r="S12" s="15"/>
      <c r="T12" s="15"/>
      <c r="U12" s="15"/>
      <c r="V12" s="16"/>
      <c r="W12" s="16"/>
    </row>
    <row r="13" customFormat="false" ht="15" hidden="false" customHeight="false" outlineLevel="0" collapsed="false">
      <c r="A13" s="13" t="s">
        <v>132</v>
      </c>
      <c r="B13" s="14" t="s">
        <v>133</v>
      </c>
      <c r="C13" s="14" t="s">
        <v>134</v>
      </c>
      <c r="D13" s="15"/>
      <c r="E13" s="15"/>
      <c r="F13" s="15"/>
      <c r="G13" s="15"/>
      <c r="H13" s="15"/>
      <c r="I13" s="15"/>
      <c r="J13" s="15"/>
      <c r="K13" s="16"/>
      <c r="L13" s="15"/>
      <c r="M13" s="15"/>
      <c r="N13" s="15"/>
      <c r="O13" s="16"/>
      <c r="P13" s="15"/>
      <c r="Q13" s="15"/>
      <c r="R13" s="15"/>
      <c r="S13" s="15"/>
      <c r="T13" s="15"/>
      <c r="U13" s="15"/>
      <c r="V13" s="16"/>
      <c r="W13" s="16"/>
    </row>
    <row r="14" customFormat="false" ht="15" hidden="false" customHeight="false" outlineLevel="0" collapsed="false">
      <c r="A14" s="13" t="s">
        <v>135</v>
      </c>
      <c r="B14" s="14" t="s">
        <v>136</v>
      </c>
      <c r="C14" s="14" t="s">
        <v>137</v>
      </c>
      <c r="D14" s="15"/>
      <c r="E14" s="15"/>
      <c r="F14" s="15"/>
      <c r="G14" s="15"/>
      <c r="H14" s="15"/>
      <c r="I14" s="15"/>
      <c r="J14" s="15"/>
      <c r="K14" s="16"/>
      <c r="L14" s="15"/>
      <c r="M14" s="15"/>
      <c r="N14" s="15"/>
      <c r="O14" s="16"/>
      <c r="P14" s="15"/>
      <c r="Q14" s="15"/>
      <c r="R14" s="15"/>
      <c r="S14" s="15"/>
      <c r="T14" s="15"/>
      <c r="U14" s="15"/>
      <c r="V14" s="16"/>
      <c r="W14" s="16"/>
    </row>
    <row r="15" customFormat="false" ht="15" hidden="false" customHeight="false" outlineLevel="0" collapsed="false">
      <c r="A15" s="13" t="s">
        <v>138</v>
      </c>
      <c r="B15" s="14" t="s">
        <v>139</v>
      </c>
      <c r="C15" s="14" t="s">
        <v>140</v>
      </c>
      <c r="D15" s="15"/>
      <c r="E15" s="15"/>
      <c r="F15" s="15"/>
      <c r="G15" s="15"/>
      <c r="H15" s="15"/>
      <c r="I15" s="15"/>
      <c r="J15" s="15"/>
      <c r="K15" s="16"/>
      <c r="L15" s="15"/>
      <c r="M15" s="15"/>
      <c r="N15" s="15"/>
      <c r="O15" s="16"/>
      <c r="P15" s="15"/>
      <c r="Q15" s="15"/>
      <c r="R15" s="15"/>
      <c r="S15" s="15"/>
      <c r="T15" s="15"/>
      <c r="U15" s="15"/>
      <c r="V15" s="16"/>
      <c r="W15" s="16"/>
    </row>
    <row r="16" customFormat="false" ht="15" hidden="false" customHeight="false" outlineLevel="0" collapsed="false">
      <c r="A16" s="13" t="s">
        <v>141</v>
      </c>
      <c r="B16" s="14" t="s">
        <v>142</v>
      </c>
      <c r="C16" s="14" t="s">
        <v>143</v>
      </c>
      <c r="D16" s="15"/>
      <c r="E16" s="15"/>
      <c r="F16" s="15"/>
      <c r="G16" s="15"/>
      <c r="H16" s="15"/>
      <c r="I16" s="15"/>
      <c r="J16" s="15"/>
      <c r="K16" s="16"/>
      <c r="L16" s="15"/>
      <c r="M16" s="15"/>
      <c r="N16" s="15"/>
      <c r="O16" s="16"/>
      <c r="P16" s="15"/>
      <c r="Q16" s="15"/>
      <c r="R16" s="15"/>
      <c r="S16" s="15"/>
      <c r="T16" s="15"/>
      <c r="U16" s="15"/>
      <c r="V16" s="16"/>
      <c r="W16" s="16"/>
    </row>
    <row r="17" customFormat="false" ht="15" hidden="false" customHeight="false" outlineLevel="0" collapsed="false">
      <c r="A17" s="13" t="s">
        <v>144</v>
      </c>
      <c r="B17" s="14" t="s">
        <v>145</v>
      </c>
      <c r="C17" s="14" t="s">
        <v>146</v>
      </c>
      <c r="D17" s="15"/>
      <c r="E17" s="15"/>
      <c r="F17" s="15"/>
      <c r="G17" s="15"/>
      <c r="H17" s="15"/>
      <c r="I17" s="15"/>
      <c r="J17" s="15"/>
      <c r="K17" s="16"/>
      <c r="L17" s="15"/>
      <c r="M17" s="15"/>
      <c r="N17" s="15"/>
      <c r="O17" s="16"/>
      <c r="P17" s="15"/>
      <c r="Q17" s="15"/>
      <c r="R17" s="15"/>
      <c r="S17" s="15"/>
      <c r="T17" s="15"/>
      <c r="U17" s="15"/>
      <c r="V17" s="16"/>
      <c r="W17" s="16"/>
    </row>
    <row r="18" customFormat="false" ht="15" hidden="false" customHeight="false" outlineLevel="0" collapsed="false">
      <c r="A18" s="13" t="s">
        <v>147</v>
      </c>
      <c r="B18" s="14" t="s">
        <v>148</v>
      </c>
      <c r="C18" s="14" t="s">
        <v>149</v>
      </c>
      <c r="D18" s="15"/>
      <c r="E18" s="15"/>
      <c r="F18" s="15"/>
      <c r="G18" s="15"/>
      <c r="H18" s="15"/>
      <c r="I18" s="15"/>
      <c r="J18" s="15"/>
      <c r="K18" s="16"/>
      <c r="L18" s="15"/>
      <c r="M18" s="15"/>
      <c r="N18" s="15"/>
      <c r="O18" s="16"/>
      <c r="P18" s="15"/>
      <c r="Q18" s="15"/>
      <c r="R18" s="15"/>
      <c r="S18" s="15"/>
      <c r="T18" s="15"/>
      <c r="U18" s="15"/>
      <c r="V18" s="16"/>
      <c r="W18" s="16"/>
    </row>
    <row r="19" customFormat="false" ht="15" hidden="false" customHeight="false" outlineLevel="0" collapsed="false">
      <c r="A19" s="13" t="s">
        <v>150</v>
      </c>
      <c r="B19" s="14" t="s">
        <v>151</v>
      </c>
      <c r="C19" s="14" t="s">
        <v>152</v>
      </c>
      <c r="D19" s="15"/>
      <c r="E19" s="15"/>
      <c r="F19" s="15"/>
      <c r="G19" s="15"/>
      <c r="H19" s="15"/>
      <c r="I19" s="15"/>
      <c r="J19" s="15"/>
      <c r="K19" s="16"/>
      <c r="L19" s="15"/>
      <c r="M19" s="15"/>
      <c r="N19" s="15"/>
      <c r="O19" s="16"/>
      <c r="P19" s="15"/>
      <c r="Q19" s="15"/>
      <c r="R19" s="15"/>
      <c r="S19" s="15"/>
      <c r="T19" s="15"/>
      <c r="U19" s="15"/>
      <c r="V19" s="16"/>
      <c r="W19" s="16"/>
    </row>
    <row r="20" customFormat="false" ht="15" hidden="false" customHeight="false" outlineLevel="0" collapsed="false">
      <c r="A20" s="13" t="s">
        <v>153</v>
      </c>
      <c r="B20" s="14" t="s">
        <v>154</v>
      </c>
      <c r="C20" s="14" t="s">
        <v>155</v>
      </c>
      <c r="D20" s="15"/>
      <c r="E20" s="15"/>
      <c r="F20" s="15"/>
      <c r="G20" s="15"/>
      <c r="H20" s="15"/>
      <c r="I20" s="15"/>
      <c r="J20" s="15"/>
      <c r="K20" s="16"/>
      <c r="L20" s="15"/>
      <c r="M20" s="15"/>
      <c r="N20" s="15"/>
      <c r="O20" s="16"/>
      <c r="P20" s="15"/>
      <c r="Q20" s="15"/>
      <c r="R20" s="15"/>
      <c r="S20" s="15"/>
      <c r="T20" s="15"/>
      <c r="U20" s="15"/>
      <c r="V20" s="16"/>
      <c r="W20" s="16"/>
    </row>
    <row r="22" customFormat="false" ht="15" hidden="false" customHeight="false" outlineLevel="0" collapsed="false">
      <c r="A22" s="10" t="s">
        <v>156</v>
      </c>
      <c r="B22" s="2" t="s">
        <v>157</v>
      </c>
      <c r="D22" s="17" t="n">
        <v>4.2</v>
      </c>
      <c r="E22" s="17" t="n">
        <v>11.8</v>
      </c>
      <c r="F22" s="17" t="n">
        <v>18.4</v>
      </c>
      <c r="G22" s="17" t="n">
        <v>26.1</v>
      </c>
      <c r="H22" s="17" t="n">
        <v>58420</v>
      </c>
      <c r="I22" s="17" t="n">
        <v>56100</v>
      </c>
      <c r="J22" s="17" t="n">
        <v>51200</v>
      </c>
      <c r="K22" s="18" t="n">
        <v>1</v>
      </c>
      <c r="L22" s="17" t="n">
        <v>72</v>
      </c>
      <c r="M22" s="17" t="n">
        <v>1.85</v>
      </c>
      <c r="N22" s="17" t="n">
        <v>1.34</v>
      </c>
      <c r="O22" s="18" t="n">
        <v>1</v>
      </c>
      <c r="P22" s="17" t="n">
        <v>14.2</v>
      </c>
      <c r="Q22" s="17" t="n">
        <v>21.6</v>
      </c>
      <c r="R22" s="17" t="n">
        <v>18.4</v>
      </c>
      <c r="S22" s="17" t="n">
        <v>16.9</v>
      </c>
      <c r="T22" s="17" t="n">
        <v>2.8</v>
      </c>
      <c r="U22" s="17" t="n">
        <v>2.4</v>
      </c>
      <c r="V22" s="18" t="n">
        <v>4</v>
      </c>
      <c r="W22" s="18" t="n">
        <v>1</v>
      </c>
    </row>
    <row r="24" customFormat="false" ht="15" hidden="false" customHeight="false" outlineLevel="0" collapsed="false">
      <c r="A24" s="10" t="s">
        <v>158</v>
      </c>
    </row>
    <row r="25" customFormat="false" ht="15" hidden="false" customHeight="false" outlineLevel="0" collapsed="false">
      <c r="A25" s="2" t="s">
        <v>159</v>
      </c>
    </row>
    <row r="26" customFormat="false" ht="15" hidden="false" customHeight="false" outlineLevel="0" collapsed="false">
      <c r="A26" s="2" t="s">
        <v>160</v>
      </c>
    </row>
    <row r="27" customFormat="false" ht="15" hidden="false" customHeight="false" outlineLevel="0" collapsed="false">
      <c r="A27" s="2" t="s">
        <v>161</v>
      </c>
    </row>
    <row r="28" customFormat="false" ht="15" hidden="false" customHeight="false" outlineLevel="0" collapsed="false">
      <c r="A28" s="2" t="s">
        <v>162</v>
      </c>
    </row>
    <row r="29" customFormat="false" ht="15" hidden="false" customHeight="false" outlineLevel="0" collapsed="false">
      <c r="A29" s="2" t="s">
        <v>163</v>
      </c>
    </row>
    <row r="30" customFormat="false" ht="15" hidden="false" customHeight="false" outlineLevel="0" collapsed="false">
      <c r="A30" s="2" t="s">
        <v>164</v>
      </c>
    </row>
    <row r="31" customFormat="false" ht="15" hidden="false" customHeight="false" outlineLevel="0" collapsed="false">
      <c r="A31" s="2" t="s">
        <v>165</v>
      </c>
    </row>
    <row r="32" customFormat="false" ht="15" hidden="false" customHeight="false" outlineLevel="0" collapsed="false">
      <c r="A32" s="2" t="s">
        <v>166</v>
      </c>
    </row>
    <row r="33" customFormat="false" ht="15" hidden="false" customHeight="false" outlineLevel="0" collapsed="false">
      <c r="A33" s="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8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31.5" hidden="false" customHeight="true" outlineLevel="0" collapsed="false">
      <c r="A4" s="12" t="s">
        <v>85</v>
      </c>
      <c r="B4" s="12" t="s">
        <v>86</v>
      </c>
      <c r="C4" s="12" t="s">
        <v>170</v>
      </c>
      <c r="D4" s="12" t="s">
        <v>171</v>
      </c>
      <c r="E4" s="12" t="s">
        <v>172</v>
      </c>
      <c r="F4" s="12" t="s">
        <v>173</v>
      </c>
      <c r="G4" s="12" t="s">
        <v>174</v>
      </c>
      <c r="H4" s="12" t="s">
        <v>175</v>
      </c>
      <c r="I4" s="12" t="s">
        <v>176</v>
      </c>
      <c r="J4" s="12" t="s">
        <v>177</v>
      </c>
      <c r="K4" s="12" t="s">
        <v>178</v>
      </c>
      <c r="L4" s="12" t="s">
        <v>179</v>
      </c>
      <c r="M4" s="12" t="s">
        <v>180</v>
      </c>
      <c r="N4" s="12" t="s">
        <v>181</v>
      </c>
      <c r="O4" s="12" t="s">
        <v>182</v>
      </c>
      <c r="P4" s="12" t="s">
        <v>183</v>
      </c>
    </row>
    <row r="5" customFormat="false" ht="15" hidden="false" customHeight="false" outlineLevel="0" collapsed="false">
      <c r="A5" s="19" t="str">
        <f aca="false">Data_Input!A5</f>
        <v>BANK</v>
      </c>
      <c r="B5" s="19" t="str">
        <f aca="false">Data_Input!B5</f>
        <v>Nifty Bank</v>
      </c>
      <c r="C5" s="20" t="n">
        <f aca="false">Data_Input!D5-Settings!$B$5</f>
        <v>0</v>
      </c>
      <c r="D5" s="20" t="n">
        <f aca="false">Data_Input!E5-Settings!$B$6</f>
        <v>0</v>
      </c>
      <c r="E5" s="20" t="n">
        <f aca="false">Data_Input!F5-Settings!$B$7</f>
        <v>0</v>
      </c>
      <c r="F5" s="21" t="n">
        <f aca="false">0.5*C5+0.3*D5+0.2*E5</f>
        <v>0</v>
      </c>
      <c r="G5" s="21" t="n">
        <f aca="false">IFERROR((COUNT($F$5:$F$20)-RANK(F5,$F$5:$F$20))/(COUNT($F$5:$F$20)-1)*100,0)</f>
        <v>100</v>
      </c>
      <c r="H5" s="20" t="n">
        <f aca="false">IF(Data_Input!H5&gt;Data_Input!I5,2,0)+IF(Data_Input!I5&gt;Data_Input!J5,2,0)+IF(Data_Input!H5&gt;Data_Input!J5,1,0)+IF(Data_Input!K5=1,1,0)</f>
        <v>0</v>
      </c>
      <c r="I5" s="21" t="n">
        <f aca="false">H5/6*100</f>
        <v>0</v>
      </c>
      <c r="J5" s="20" t="n">
        <f aca="false">Data_Input!N5+Data_Input!O5*0.1</f>
        <v>0</v>
      </c>
      <c r="K5" s="21" t="n">
        <f aca="false">IFERROR((COUNT($J$5:$J$20)-RANK(J5,$J$5:$J$20))/(COUNT($J$5:$J$20)-1)*100,0)</f>
        <v>100</v>
      </c>
      <c r="L5" s="20" t="n">
        <f aca="false">MIN(100,MAX(0,Data_Input!L5))</f>
        <v>0</v>
      </c>
      <c r="M5" s="20" t="n">
        <f aca="false">(Data_Input!W5+2)/4*100</f>
        <v>50</v>
      </c>
      <c r="N5" s="22" t="n">
        <f aca="false">(G5*Settings!$B$11+I5*Settings!$B$12+K5*Settings!$B$13+L5*Settings!$B$14+M5*Settings!$B$15)/100</f>
        <v>57.5</v>
      </c>
      <c r="O5" s="23" t="n">
        <f aca="false">RANK(N5,$N$5:$N$20)</f>
        <v>1</v>
      </c>
      <c r="P5" s="22" t="str">
        <f aca="false">IF(Settings!$B$32=0,"AVOID (Gate 0)",IF(N5&gt;=Settings!$B$27,"STRONG",IF(N5&gt;=Settings!$B$28,"NEUTRAL","AVOID")))</f>
        <v>NEUTRAL</v>
      </c>
    </row>
    <row r="6" customFormat="false" ht="15" hidden="false" customHeight="false" outlineLevel="0" collapsed="false">
      <c r="A6" s="19" t="str">
        <f aca="false">Data_Input!A6</f>
        <v>FINSRV</v>
      </c>
      <c r="B6" s="19" t="str">
        <f aca="false">Data_Input!B6</f>
        <v>Nifty Financial Services</v>
      </c>
      <c r="C6" s="20" t="n">
        <f aca="false">Data_Input!D6-Settings!$B$5</f>
        <v>0</v>
      </c>
      <c r="D6" s="20" t="n">
        <f aca="false">Data_Input!E6-Settings!$B$6</f>
        <v>0</v>
      </c>
      <c r="E6" s="20" t="n">
        <f aca="false">Data_Input!F6-Settings!$B$7</f>
        <v>0</v>
      </c>
      <c r="F6" s="21" t="n">
        <f aca="false">0.5*C6+0.3*D6+0.2*E6</f>
        <v>0</v>
      </c>
      <c r="G6" s="21" t="n">
        <f aca="false">IFERROR((COUNT($F$5:$F$20)-RANK(F6,$F$5:$F$20))/(COUNT($F$5:$F$20)-1)*100,0)</f>
        <v>100</v>
      </c>
      <c r="H6" s="20" t="n">
        <f aca="false">IF(Data_Input!H6&gt;Data_Input!I6,2,0)+IF(Data_Input!I6&gt;Data_Input!J6,2,0)+IF(Data_Input!H6&gt;Data_Input!J6,1,0)+IF(Data_Input!K6=1,1,0)</f>
        <v>0</v>
      </c>
      <c r="I6" s="21" t="n">
        <f aca="false">H6/6*100</f>
        <v>0</v>
      </c>
      <c r="J6" s="20" t="n">
        <f aca="false">Data_Input!N6+Data_Input!O6*0.1</f>
        <v>0</v>
      </c>
      <c r="K6" s="21" t="n">
        <f aca="false">IFERROR((COUNT($J$5:$J$20)-RANK(J6,$J$5:$J$20))/(COUNT($J$5:$J$20)-1)*100,0)</f>
        <v>100</v>
      </c>
      <c r="L6" s="20" t="n">
        <f aca="false">MIN(100,MAX(0,Data_Input!L6))</f>
        <v>0</v>
      </c>
      <c r="M6" s="20" t="n">
        <f aca="false">(Data_Input!W6+2)/4*100</f>
        <v>50</v>
      </c>
      <c r="N6" s="22" t="n">
        <f aca="false">(G6*Settings!$B$11+I6*Settings!$B$12+K6*Settings!$B$13+L6*Settings!$B$14+M6*Settings!$B$15)/100</f>
        <v>57.5</v>
      </c>
      <c r="O6" s="23" t="n">
        <f aca="false">RANK(N6,$N$5:$N$20)</f>
        <v>1</v>
      </c>
      <c r="P6" s="22" t="str">
        <f aca="false">IF(Settings!$B$32=0,"AVOID (Gate 0)",IF(N6&gt;=Settings!$B$27,"STRONG",IF(N6&gt;=Settings!$B$28,"NEUTRAL","AVOID")))</f>
        <v>NEUTRAL</v>
      </c>
    </row>
    <row r="7" customFormat="false" ht="15" hidden="false" customHeight="false" outlineLevel="0" collapsed="false">
      <c r="A7" s="19" t="str">
        <f aca="false">Data_Input!A7</f>
        <v>PVTBANK</v>
      </c>
      <c r="B7" s="19" t="str">
        <f aca="false">Data_Input!B7</f>
        <v>Nifty Private Bank</v>
      </c>
      <c r="C7" s="20" t="n">
        <f aca="false">Data_Input!D7-Settings!$B$5</f>
        <v>0</v>
      </c>
      <c r="D7" s="20" t="n">
        <f aca="false">Data_Input!E7-Settings!$B$6</f>
        <v>0</v>
      </c>
      <c r="E7" s="20" t="n">
        <f aca="false">Data_Input!F7-Settings!$B$7</f>
        <v>0</v>
      </c>
      <c r="F7" s="21" t="n">
        <f aca="false">0.5*C7+0.3*D7+0.2*E7</f>
        <v>0</v>
      </c>
      <c r="G7" s="21" t="n">
        <f aca="false">IFERROR((COUNT($F$5:$F$20)-RANK(F7,$F$5:$F$20))/(COUNT($F$5:$F$20)-1)*100,0)</f>
        <v>100</v>
      </c>
      <c r="H7" s="20" t="n">
        <f aca="false">IF(Data_Input!H7&gt;Data_Input!I7,2,0)+IF(Data_Input!I7&gt;Data_Input!J7,2,0)+IF(Data_Input!H7&gt;Data_Input!J7,1,0)+IF(Data_Input!K7=1,1,0)</f>
        <v>0</v>
      </c>
      <c r="I7" s="21" t="n">
        <f aca="false">H7/6*100</f>
        <v>0</v>
      </c>
      <c r="J7" s="20" t="n">
        <f aca="false">Data_Input!N7+Data_Input!O7*0.1</f>
        <v>0</v>
      </c>
      <c r="K7" s="21" t="n">
        <f aca="false">IFERROR((COUNT($J$5:$J$20)-RANK(J7,$J$5:$J$20))/(COUNT($J$5:$J$20)-1)*100,0)</f>
        <v>100</v>
      </c>
      <c r="L7" s="20" t="n">
        <f aca="false">MIN(100,MAX(0,Data_Input!L7))</f>
        <v>0</v>
      </c>
      <c r="M7" s="20" t="n">
        <f aca="false">(Data_Input!W7+2)/4*100</f>
        <v>50</v>
      </c>
      <c r="N7" s="22" t="n">
        <f aca="false">(G7*Settings!$B$11+I7*Settings!$B$12+K7*Settings!$B$13+L7*Settings!$B$14+M7*Settings!$B$15)/100</f>
        <v>57.5</v>
      </c>
      <c r="O7" s="23" t="n">
        <f aca="false">RANK(N7,$N$5:$N$20)</f>
        <v>1</v>
      </c>
      <c r="P7" s="22" t="str">
        <f aca="false">IF(Settings!$B$32=0,"AVOID (Gate 0)",IF(N7&gt;=Settings!$B$27,"STRONG",IF(N7&gt;=Settings!$B$28,"NEUTRAL","AVOID")))</f>
        <v>NEUTRAL</v>
      </c>
    </row>
    <row r="8" customFormat="false" ht="15" hidden="false" customHeight="false" outlineLevel="0" collapsed="false">
      <c r="A8" s="19" t="str">
        <f aca="false">Data_Input!A8</f>
        <v>PSUBANK</v>
      </c>
      <c r="B8" s="19" t="str">
        <f aca="false">Data_Input!B8</f>
        <v>Nifty PSU Bank</v>
      </c>
      <c r="C8" s="20" t="n">
        <f aca="false">Data_Input!D8-Settings!$B$5</f>
        <v>0</v>
      </c>
      <c r="D8" s="20" t="n">
        <f aca="false">Data_Input!E8-Settings!$B$6</f>
        <v>0</v>
      </c>
      <c r="E8" s="20" t="n">
        <f aca="false">Data_Input!F8-Settings!$B$7</f>
        <v>0</v>
      </c>
      <c r="F8" s="21" t="n">
        <f aca="false">0.5*C8+0.3*D8+0.2*E8</f>
        <v>0</v>
      </c>
      <c r="G8" s="21" t="n">
        <f aca="false">IFERROR((COUNT($F$5:$F$20)-RANK(F8,$F$5:$F$20))/(COUNT($F$5:$F$20)-1)*100,0)</f>
        <v>100</v>
      </c>
      <c r="H8" s="20" t="n">
        <f aca="false">IF(Data_Input!H8&gt;Data_Input!I8,2,0)+IF(Data_Input!I8&gt;Data_Input!J8,2,0)+IF(Data_Input!H8&gt;Data_Input!J8,1,0)+IF(Data_Input!K8=1,1,0)</f>
        <v>0</v>
      </c>
      <c r="I8" s="21" t="n">
        <f aca="false">H8/6*100</f>
        <v>0</v>
      </c>
      <c r="J8" s="20" t="n">
        <f aca="false">Data_Input!N8+Data_Input!O8*0.1</f>
        <v>0</v>
      </c>
      <c r="K8" s="21" t="n">
        <f aca="false">IFERROR((COUNT($J$5:$J$20)-RANK(J8,$J$5:$J$20))/(COUNT($J$5:$J$20)-1)*100,0)</f>
        <v>100</v>
      </c>
      <c r="L8" s="20" t="n">
        <f aca="false">MIN(100,MAX(0,Data_Input!L8))</f>
        <v>0</v>
      </c>
      <c r="M8" s="20" t="n">
        <f aca="false">(Data_Input!W8+2)/4*100</f>
        <v>50</v>
      </c>
      <c r="N8" s="22" t="n">
        <f aca="false">(G8*Settings!$B$11+I8*Settings!$B$12+K8*Settings!$B$13+L8*Settings!$B$14+M8*Settings!$B$15)/100</f>
        <v>57.5</v>
      </c>
      <c r="O8" s="23" t="n">
        <f aca="false">RANK(N8,$N$5:$N$20)</f>
        <v>1</v>
      </c>
      <c r="P8" s="22" t="str">
        <f aca="false">IF(Settings!$B$32=0,"AVOID (Gate 0)",IF(N8&gt;=Settings!$B$27,"STRONG",IF(N8&gt;=Settings!$B$28,"NEUTRAL","AVOID")))</f>
        <v>NEUTRAL</v>
      </c>
    </row>
    <row r="9" customFormat="false" ht="15" hidden="false" customHeight="false" outlineLevel="0" collapsed="false">
      <c r="A9" s="19" t="str">
        <f aca="false">Data_Input!A9</f>
        <v>IT</v>
      </c>
      <c r="B9" s="19" t="str">
        <f aca="false">Data_Input!B9</f>
        <v>Nifty IT</v>
      </c>
      <c r="C9" s="20" t="n">
        <f aca="false">Data_Input!D9-Settings!$B$5</f>
        <v>0</v>
      </c>
      <c r="D9" s="20" t="n">
        <f aca="false">Data_Input!E9-Settings!$B$6</f>
        <v>0</v>
      </c>
      <c r="E9" s="20" t="n">
        <f aca="false">Data_Input!F9-Settings!$B$7</f>
        <v>0</v>
      </c>
      <c r="F9" s="21" t="n">
        <f aca="false">0.5*C9+0.3*D9+0.2*E9</f>
        <v>0</v>
      </c>
      <c r="G9" s="21" t="n">
        <f aca="false">IFERROR((COUNT($F$5:$F$20)-RANK(F9,$F$5:$F$20))/(COUNT($F$5:$F$20)-1)*100,0)</f>
        <v>100</v>
      </c>
      <c r="H9" s="20" t="n">
        <f aca="false">IF(Data_Input!H9&gt;Data_Input!I9,2,0)+IF(Data_Input!I9&gt;Data_Input!J9,2,0)+IF(Data_Input!H9&gt;Data_Input!J9,1,0)+IF(Data_Input!K9=1,1,0)</f>
        <v>0</v>
      </c>
      <c r="I9" s="21" t="n">
        <f aca="false">H9/6*100</f>
        <v>0</v>
      </c>
      <c r="J9" s="20" t="n">
        <f aca="false">Data_Input!N9+Data_Input!O9*0.1</f>
        <v>0</v>
      </c>
      <c r="K9" s="21" t="n">
        <f aca="false">IFERROR((COUNT($J$5:$J$20)-RANK(J9,$J$5:$J$20))/(COUNT($J$5:$J$20)-1)*100,0)</f>
        <v>100</v>
      </c>
      <c r="L9" s="20" t="n">
        <f aca="false">MIN(100,MAX(0,Data_Input!L9))</f>
        <v>0</v>
      </c>
      <c r="M9" s="20" t="n">
        <f aca="false">(Data_Input!W9+2)/4*100</f>
        <v>50</v>
      </c>
      <c r="N9" s="22" t="n">
        <f aca="false">(G9*Settings!$B$11+I9*Settings!$B$12+K9*Settings!$B$13+L9*Settings!$B$14+M9*Settings!$B$15)/100</f>
        <v>57.5</v>
      </c>
      <c r="O9" s="23" t="n">
        <f aca="false">RANK(N9,$N$5:$N$20)</f>
        <v>1</v>
      </c>
      <c r="P9" s="22" t="str">
        <f aca="false">IF(Settings!$B$32=0,"AVOID (Gate 0)",IF(N9&gt;=Settings!$B$27,"STRONG",IF(N9&gt;=Settings!$B$28,"NEUTRAL","AVOID")))</f>
        <v>NEUTRAL</v>
      </c>
    </row>
    <row r="10" customFormat="false" ht="15" hidden="false" customHeight="false" outlineLevel="0" collapsed="false">
      <c r="A10" s="19" t="str">
        <f aca="false">Data_Input!A10</f>
        <v>AUTO</v>
      </c>
      <c r="B10" s="19" t="str">
        <f aca="false">Data_Input!B10</f>
        <v>Nifty Auto</v>
      </c>
      <c r="C10" s="20" t="n">
        <f aca="false">Data_Input!D10-Settings!$B$5</f>
        <v>0</v>
      </c>
      <c r="D10" s="20" t="n">
        <f aca="false">Data_Input!E10-Settings!$B$6</f>
        <v>0</v>
      </c>
      <c r="E10" s="20" t="n">
        <f aca="false">Data_Input!F10-Settings!$B$7</f>
        <v>0</v>
      </c>
      <c r="F10" s="21" t="n">
        <f aca="false">0.5*C10+0.3*D10+0.2*E10</f>
        <v>0</v>
      </c>
      <c r="G10" s="21" t="n">
        <f aca="false">IFERROR((COUNT($F$5:$F$20)-RANK(F10,$F$5:$F$20))/(COUNT($F$5:$F$20)-1)*100,0)</f>
        <v>100</v>
      </c>
      <c r="H10" s="20" t="n">
        <f aca="false">IF(Data_Input!H10&gt;Data_Input!I10,2,0)+IF(Data_Input!I10&gt;Data_Input!J10,2,0)+IF(Data_Input!H10&gt;Data_Input!J10,1,0)+IF(Data_Input!K10=1,1,0)</f>
        <v>0</v>
      </c>
      <c r="I10" s="21" t="n">
        <f aca="false">H10/6*100</f>
        <v>0</v>
      </c>
      <c r="J10" s="20" t="n">
        <f aca="false">Data_Input!N10+Data_Input!O10*0.1</f>
        <v>0</v>
      </c>
      <c r="K10" s="21" t="n">
        <f aca="false">IFERROR((COUNT($J$5:$J$20)-RANK(J10,$J$5:$J$20))/(COUNT($J$5:$J$20)-1)*100,0)</f>
        <v>100</v>
      </c>
      <c r="L10" s="20" t="n">
        <f aca="false">MIN(100,MAX(0,Data_Input!L10))</f>
        <v>0</v>
      </c>
      <c r="M10" s="20" t="n">
        <f aca="false">(Data_Input!W10+2)/4*100</f>
        <v>50</v>
      </c>
      <c r="N10" s="22" t="n">
        <f aca="false">(G10*Settings!$B$11+I10*Settings!$B$12+K10*Settings!$B$13+L10*Settings!$B$14+M10*Settings!$B$15)/100</f>
        <v>57.5</v>
      </c>
      <c r="O10" s="23" t="n">
        <f aca="false">RANK(N10,$N$5:$N$20)</f>
        <v>1</v>
      </c>
      <c r="P10" s="22" t="str">
        <f aca="false">IF(Settings!$B$32=0,"AVOID (Gate 0)",IF(N10&gt;=Settings!$B$27,"STRONG",IF(N10&gt;=Settings!$B$28,"NEUTRAL","AVOID")))</f>
        <v>NEUTRAL</v>
      </c>
    </row>
    <row r="11" customFormat="false" ht="15" hidden="false" customHeight="false" outlineLevel="0" collapsed="false">
      <c r="A11" s="19" t="str">
        <f aca="false">Data_Input!A11</f>
        <v>PHARMA</v>
      </c>
      <c r="B11" s="19" t="str">
        <f aca="false">Data_Input!B11</f>
        <v>Nifty Pharma</v>
      </c>
      <c r="C11" s="20" t="n">
        <f aca="false">Data_Input!D11-Settings!$B$5</f>
        <v>0</v>
      </c>
      <c r="D11" s="20" t="n">
        <f aca="false">Data_Input!E11-Settings!$B$6</f>
        <v>0</v>
      </c>
      <c r="E11" s="20" t="n">
        <f aca="false">Data_Input!F11-Settings!$B$7</f>
        <v>0</v>
      </c>
      <c r="F11" s="21" t="n">
        <f aca="false">0.5*C11+0.3*D11+0.2*E11</f>
        <v>0</v>
      </c>
      <c r="G11" s="21" t="n">
        <f aca="false">IFERROR((COUNT($F$5:$F$20)-RANK(F11,$F$5:$F$20))/(COUNT($F$5:$F$20)-1)*100,0)</f>
        <v>100</v>
      </c>
      <c r="H11" s="20" t="n">
        <f aca="false">IF(Data_Input!H11&gt;Data_Input!I11,2,0)+IF(Data_Input!I11&gt;Data_Input!J11,2,0)+IF(Data_Input!H11&gt;Data_Input!J11,1,0)+IF(Data_Input!K11=1,1,0)</f>
        <v>0</v>
      </c>
      <c r="I11" s="21" t="n">
        <f aca="false">H11/6*100</f>
        <v>0</v>
      </c>
      <c r="J11" s="20" t="n">
        <f aca="false">Data_Input!N11+Data_Input!O11*0.1</f>
        <v>0</v>
      </c>
      <c r="K11" s="21" t="n">
        <f aca="false">IFERROR((COUNT($J$5:$J$20)-RANK(J11,$J$5:$J$20))/(COUNT($J$5:$J$20)-1)*100,0)</f>
        <v>100</v>
      </c>
      <c r="L11" s="20" t="n">
        <f aca="false">MIN(100,MAX(0,Data_Input!L11))</f>
        <v>0</v>
      </c>
      <c r="M11" s="20" t="n">
        <f aca="false">(Data_Input!W11+2)/4*100</f>
        <v>50</v>
      </c>
      <c r="N11" s="22" t="n">
        <f aca="false">(G11*Settings!$B$11+I11*Settings!$B$12+K11*Settings!$B$13+L11*Settings!$B$14+M11*Settings!$B$15)/100</f>
        <v>57.5</v>
      </c>
      <c r="O11" s="23" t="n">
        <f aca="false">RANK(N11,$N$5:$N$20)</f>
        <v>1</v>
      </c>
      <c r="P11" s="22" t="str">
        <f aca="false">IF(Settings!$B$32=0,"AVOID (Gate 0)",IF(N11&gt;=Settings!$B$27,"STRONG",IF(N11&gt;=Settings!$B$28,"NEUTRAL","AVOID")))</f>
        <v>NEUTRAL</v>
      </c>
    </row>
    <row r="12" customFormat="false" ht="15" hidden="false" customHeight="false" outlineLevel="0" collapsed="false">
      <c r="A12" s="19" t="str">
        <f aca="false">Data_Input!A12</f>
        <v>HEALTH</v>
      </c>
      <c r="B12" s="19" t="str">
        <f aca="false">Data_Input!B12</f>
        <v>Nifty Healthcare</v>
      </c>
      <c r="C12" s="20" t="n">
        <f aca="false">Data_Input!D12-Settings!$B$5</f>
        <v>0</v>
      </c>
      <c r="D12" s="20" t="n">
        <f aca="false">Data_Input!E12-Settings!$B$6</f>
        <v>0</v>
      </c>
      <c r="E12" s="20" t="n">
        <f aca="false">Data_Input!F12-Settings!$B$7</f>
        <v>0</v>
      </c>
      <c r="F12" s="21" t="n">
        <f aca="false">0.5*C12+0.3*D12+0.2*E12</f>
        <v>0</v>
      </c>
      <c r="G12" s="21" t="n">
        <f aca="false">IFERROR((COUNT($F$5:$F$20)-RANK(F12,$F$5:$F$20))/(COUNT($F$5:$F$20)-1)*100,0)</f>
        <v>100</v>
      </c>
      <c r="H12" s="20" t="n">
        <f aca="false">IF(Data_Input!H12&gt;Data_Input!I12,2,0)+IF(Data_Input!I12&gt;Data_Input!J12,2,0)+IF(Data_Input!H12&gt;Data_Input!J12,1,0)+IF(Data_Input!K12=1,1,0)</f>
        <v>0</v>
      </c>
      <c r="I12" s="21" t="n">
        <f aca="false">H12/6*100</f>
        <v>0</v>
      </c>
      <c r="J12" s="20" t="n">
        <f aca="false">Data_Input!N12+Data_Input!O12*0.1</f>
        <v>0</v>
      </c>
      <c r="K12" s="21" t="n">
        <f aca="false">IFERROR((COUNT($J$5:$J$20)-RANK(J12,$J$5:$J$20))/(COUNT($J$5:$J$20)-1)*100,0)</f>
        <v>100</v>
      </c>
      <c r="L12" s="20" t="n">
        <f aca="false">MIN(100,MAX(0,Data_Input!L12))</f>
        <v>0</v>
      </c>
      <c r="M12" s="20" t="n">
        <f aca="false">(Data_Input!W12+2)/4*100</f>
        <v>50</v>
      </c>
      <c r="N12" s="22" t="n">
        <f aca="false">(G12*Settings!$B$11+I12*Settings!$B$12+K12*Settings!$B$13+L12*Settings!$B$14+M12*Settings!$B$15)/100</f>
        <v>57.5</v>
      </c>
      <c r="O12" s="23" t="n">
        <f aca="false">RANK(N12,$N$5:$N$20)</f>
        <v>1</v>
      </c>
      <c r="P12" s="22" t="str">
        <f aca="false">IF(Settings!$B$32=0,"AVOID (Gate 0)",IF(N12&gt;=Settings!$B$27,"STRONG",IF(N12&gt;=Settings!$B$28,"NEUTRAL","AVOID")))</f>
        <v>NEUTRAL</v>
      </c>
    </row>
    <row r="13" customFormat="false" ht="15" hidden="false" customHeight="false" outlineLevel="0" collapsed="false">
      <c r="A13" s="19" t="str">
        <f aca="false">Data_Input!A13</f>
        <v>FMCG</v>
      </c>
      <c r="B13" s="19" t="str">
        <f aca="false">Data_Input!B13</f>
        <v>Nifty FMCG</v>
      </c>
      <c r="C13" s="20" t="n">
        <f aca="false">Data_Input!D13-Settings!$B$5</f>
        <v>0</v>
      </c>
      <c r="D13" s="20" t="n">
        <f aca="false">Data_Input!E13-Settings!$B$6</f>
        <v>0</v>
      </c>
      <c r="E13" s="20" t="n">
        <f aca="false">Data_Input!F13-Settings!$B$7</f>
        <v>0</v>
      </c>
      <c r="F13" s="21" t="n">
        <f aca="false">0.5*C13+0.3*D13+0.2*E13</f>
        <v>0</v>
      </c>
      <c r="G13" s="21" t="n">
        <f aca="false">IFERROR((COUNT($F$5:$F$20)-RANK(F13,$F$5:$F$20))/(COUNT($F$5:$F$20)-1)*100,0)</f>
        <v>100</v>
      </c>
      <c r="H13" s="20" t="n">
        <f aca="false">IF(Data_Input!H13&gt;Data_Input!I13,2,0)+IF(Data_Input!I13&gt;Data_Input!J13,2,0)+IF(Data_Input!H13&gt;Data_Input!J13,1,0)+IF(Data_Input!K13=1,1,0)</f>
        <v>0</v>
      </c>
      <c r="I13" s="21" t="n">
        <f aca="false">H13/6*100</f>
        <v>0</v>
      </c>
      <c r="J13" s="20" t="n">
        <f aca="false">Data_Input!N13+Data_Input!O13*0.1</f>
        <v>0</v>
      </c>
      <c r="K13" s="21" t="n">
        <f aca="false">IFERROR((COUNT($J$5:$J$20)-RANK(J13,$J$5:$J$20))/(COUNT($J$5:$J$20)-1)*100,0)</f>
        <v>100</v>
      </c>
      <c r="L13" s="20" t="n">
        <f aca="false">MIN(100,MAX(0,Data_Input!L13))</f>
        <v>0</v>
      </c>
      <c r="M13" s="20" t="n">
        <f aca="false">(Data_Input!W13+2)/4*100</f>
        <v>50</v>
      </c>
      <c r="N13" s="22" t="n">
        <f aca="false">(G13*Settings!$B$11+I13*Settings!$B$12+K13*Settings!$B$13+L13*Settings!$B$14+M13*Settings!$B$15)/100</f>
        <v>57.5</v>
      </c>
      <c r="O13" s="23" t="n">
        <f aca="false">RANK(N13,$N$5:$N$20)</f>
        <v>1</v>
      </c>
      <c r="P13" s="22" t="str">
        <f aca="false">IF(Settings!$B$32=0,"AVOID (Gate 0)",IF(N13&gt;=Settings!$B$27,"STRONG",IF(N13&gt;=Settings!$B$28,"NEUTRAL","AVOID")))</f>
        <v>NEUTRAL</v>
      </c>
    </row>
    <row r="14" customFormat="false" ht="15" hidden="false" customHeight="false" outlineLevel="0" collapsed="false">
      <c r="A14" s="19" t="str">
        <f aca="false">Data_Input!A14</f>
        <v>METAL</v>
      </c>
      <c r="B14" s="19" t="str">
        <f aca="false">Data_Input!B14</f>
        <v>Nifty Metal</v>
      </c>
      <c r="C14" s="20" t="n">
        <f aca="false">Data_Input!D14-Settings!$B$5</f>
        <v>0</v>
      </c>
      <c r="D14" s="20" t="n">
        <f aca="false">Data_Input!E14-Settings!$B$6</f>
        <v>0</v>
      </c>
      <c r="E14" s="20" t="n">
        <f aca="false">Data_Input!F14-Settings!$B$7</f>
        <v>0</v>
      </c>
      <c r="F14" s="21" t="n">
        <f aca="false">0.5*C14+0.3*D14+0.2*E14</f>
        <v>0</v>
      </c>
      <c r="G14" s="21" t="n">
        <f aca="false">IFERROR((COUNT($F$5:$F$20)-RANK(F14,$F$5:$F$20))/(COUNT($F$5:$F$20)-1)*100,0)</f>
        <v>100</v>
      </c>
      <c r="H14" s="20" t="n">
        <f aca="false">IF(Data_Input!H14&gt;Data_Input!I14,2,0)+IF(Data_Input!I14&gt;Data_Input!J14,2,0)+IF(Data_Input!H14&gt;Data_Input!J14,1,0)+IF(Data_Input!K14=1,1,0)</f>
        <v>0</v>
      </c>
      <c r="I14" s="21" t="n">
        <f aca="false">H14/6*100</f>
        <v>0</v>
      </c>
      <c r="J14" s="20" t="n">
        <f aca="false">Data_Input!N14+Data_Input!O14*0.1</f>
        <v>0</v>
      </c>
      <c r="K14" s="21" t="n">
        <f aca="false">IFERROR((COUNT($J$5:$J$20)-RANK(J14,$J$5:$J$20))/(COUNT($J$5:$J$20)-1)*100,0)</f>
        <v>100</v>
      </c>
      <c r="L14" s="20" t="n">
        <f aca="false">MIN(100,MAX(0,Data_Input!L14))</f>
        <v>0</v>
      </c>
      <c r="M14" s="20" t="n">
        <f aca="false">(Data_Input!W14+2)/4*100</f>
        <v>50</v>
      </c>
      <c r="N14" s="22" t="n">
        <f aca="false">(G14*Settings!$B$11+I14*Settings!$B$12+K14*Settings!$B$13+L14*Settings!$B$14+M14*Settings!$B$15)/100</f>
        <v>57.5</v>
      </c>
      <c r="O14" s="23" t="n">
        <f aca="false">RANK(N14,$N$5:$N$20)</f>
        <v>1</v>
      </c>
      <c r="P14" s="22" t="str">
        <f aca="false">IF(Settings!$B$32=0,"AVOID (Gate 0)",IF(N14&gt;=Settings!$B$27,"STRONG",IF(N14&gt;=Settings!$B$28,"NEUTRAL","AVOID")))</f>
        <v>NEUTRAL</v>
      </c>
    </row>
    <row r="15" customFormat="false" ht="15" hidden="false" customHeight="false" outlineLevel="0" collapsed="false">
      <c r="A15" s="19" t="str">
        <f aca="false">Data_Input!A15</f>
        <v>REALTY</v>
      </c>
      <c r="B15" s="19" t="str">
        <f aca="false">Data_Input!B15</f>
        <v>Nifty Realty</v>
      </c>
      <c r="C15" s="20" t="n">
        <f aca="false">Data_Input!D15-Settings!$B$5</f>
        <v>0</v>
      </c>
      <c r="D15" s="20" t="n">
        <f aca="false">Data_Input!E15-Settings!$B$6</f>
        <v>0</v>
      </c>
      <c r="E15" s="20" t="n">
        <f aca="false">Data_Input!F15-Settings!$B$7</f>
        <v>0</v>
      </c>
      <c r="F15" s="21" t="n">
        <f aca="false">0.5*C15+0.3*D15+0.2*E15</f>
        <v>0</v>
      </c>
      <c r="G15" s="21" t="n">
        <f aca="false">IFERROR((COUNT($F$5:$F$20)-RANK(F15,$F$5:$F$20))/(COUNT($F$5:$F$20)-1)*100,0)</f>
        <v>100</v>
      </c>
      <c r="H15" s="20" t="n">
        <f aca="false">IF(Data_Input!H15&gt;Data_Input!I15,2,0)+IF(Data_Input!I15&gt;Data_Input!J15,2,0)+IF(Data_Input!H15&gt;Data_Input!J15,1,0)+IF(Data_Input!K15=1,1,0)</f>
        <v>0</v>
      </c>
      <c r="I15" s="21" t="n">
        <f aca="false">H15/6*100</f>
        <v>0</v>
      </c>
      <c r="J15" s="20" t="n">
        <f aca="false">Data_Input!N15+Data_Input!O15*0.1</f>
        <v>0</v>
      </c>
      <c r="K15" s="21" t="n">
        <f aca="false">IFERROR((COUNT($J$5:$J$20)-RANK(J15,$J$5:$J$20))/(COUNT($J$5:$J$20)-1)*100,0)</f>
        <v>100</v>
      </c>
      <c r="L15" s="20" t="n">
        <f aca="false">MIN(100,MAX(0,Data_Input!L15))</f>
        <v>0</v>
      </c>
      <c r="M15" s="20" t="n">
        <f aca="false">(Data_Input!W15+2)/4*100</f>
        <v>50</v>
      </c>
      <c r="N15" s="22" t="n">
        <f aca="false">(G15*Settings!$B$11+I15*Settings!$B$12+K15*Settings!$B$13+L15*Settings!$B$14+M15*Settings!$B$15)/100</f>
        <v>57.5</v>
      </c>
      <c r="O15" s="23" t="n">
        <f aca="false">RANK(N15,$N$5:$N$20)</f>
        <v>1</v>
      </c>
      <c r="P15" s="22" t="str">
        <f aca="false">IF(Settings!$B$32=0,"AVOID (Gate 0)",IF(N15&gt;=Settings!$B$27,"STRONG",IF(N15&gt;=Settings!$B$28,"NEUTRAL","AVOID")))</f>
        <v>NEUTRAL</v>
      </c>
    </row>
    <row r="16" customFormat="false" ht="15" hidden="false" customHeight="false" outlineLevel="0" collapsed="false">
      <c r="A16" s="19" t="str">
        <f aca="false">Data_Input!A16</f>
        <v>ENERGY</v>
      </c>
      <c r="B16" s="19" t="str">
        <f aca="false">Data_Input!B16</f>
        <v>Nifty Energy</v>
      </c>
      <c r="C16" s="20" t="n">
        <f aca="false">Data_Input!D16-Settings!$B$5</f>
        <v>0</v>
      </c>
      <c r="D16" s="20" t="n">
        <f aca="false">Data_Input!E16-Settings!$B$6</f>
        <v>0</v>
      </c>
      <c r="E16" s="20" t="n">
        <f aca="false">Data_Input!F16-Settings!$B$7</f>
        <v>0</v>
      </c>
      <c r="F16" s="21" t="n">
        <f aca="false">0.5*C16+0.3*D16+0.2*E16</f>
        <v>0</v>
      </c>
      <c r="G16" s="21" t="n">
        <f aca="false">IFERROR((COUNT($F$5:$F$20)-RANK(F16,$F$5:$F$20))/(COUNT($F$5:$F$20)-1)*100,0)</f>
        <v>100</v>
      </c>
      <c r="H16" s="20" t="n">
        <f aca="false">IF(Data_Input!H16&gt;Data_Input!I16,2,0)+IF(Data_Input!I16&gt;Data_Input!J16,2,0)+IF(Data_Input!H16&gt;Data_Input!J16,1,0)+IF(Data_Input!K16=1,1,0)</f>
        <v>0</v>
      </c>
      <c r="I16" s="21" t="n">
        <f aca="false">H16/6*100</f>
        <v>0</v>
      </c>
      <c r="J16" s="20" t="n">
        <f aca="false">Data_Input!N16+Data_Input!O16*0.1</f>
        <v>0</v>
      </c>
      <c r="K16" s="21" t="n">
        <f aca="false">IFERROR((COUNT($J$5:$J$20)-RANK(J16,$J$5:$J$20))/(COUNT($J$5:$J$20)-1)*100,0)</f>
        <v>100</v>
      </c>
      <c r="L16" s="20" t="n">
        <f aca="false">MIN(100,MAX(0,Data_Input!L16))</f>
        <v>0</v>
      </c>
      <c r="M16" s="20" t="n">
        <f aca="false">(Data_Input!W16+2)/4*100</f>
        <v>50</v>
      </c>
      <c r="N16" s="22" t="n">
        <f aca="false">(G16*Settings!$B$11+I16*Settings!$B$12+K16*Settings!$B$13+L16*Settings!$B$14+M16*Settings!$B$15)/100</f>
        <v>57.5</v>
      </c>
      <c r="O16" s="23" t="n">
        <f aca="false">RANK(N16,$N$5:$N$20)</f>
        <v>1</v>
      </c>
      <c r="P16" s="22" t="str">
        <f aca="false">IF(Settings!$B$32=0,"AVOID (Gate 0)",IF(N16&gt;=Settings!$B$27,"STRONG",IF(N16&gt;=Settings!$B$28,"NEUTRAL","AVOID")))</f>
        <v>NEUTRAL</v>
      </c>
    </row>
    <row r="17" customFormat="false" ht="15" hidden="false" customHeight="false" outlineLevel="0" collapsed="false">
      <c r="A17" s="19" t="str">
        <f aca="false">Data_Input!A17</f>
        <v>OILGAS</v>
      </c>
      <c r="B17" s="19" t="str">
        <f aca="false">Data_Input!B17</f>
        <v>Nifty Oil &amp; Gas</v>
      </c>
      <c r="C17" s="20" t="n">
        <f aca="false">Data_Input!D17-Settings!$B$5</f>
        <v>0</v>
      </c>
      <c r="D17" s="20" t="n">
        <f aca="false">Data_Input!E17-Settings!$B$6</f>
        <v>0</v>
      </c>
      <c r="E17" s="20" t="n">
        <f aca="false">Data_Input!F17-Settings!$B$7</f>
        <v>0</v>
      </c>
      <c r="F17" s="21" t="n">
        <f aca="false">0.5*C17+0.3*D17+0.2*E17</f>
        <v>0</v>
      </c>
      <c r="G17" s="21" t="n">
        <f aca="false">IFERROR((COUNT($F$5:$F$20)-RANK(F17,$F$5:$F$20))/(COUNT($F$5:$F$20)-1)*100,0)</f>
        <v>100</v>
      </c>
      <c r="H17" s="20" t="n">
        <f aca="false">IF(Data_Input!H17&gt;Data_Input!I17,2,0)+IF(Data_Input!I17&gt;Data_Input!J17,2,0)+IF(Data_Input!H17&gt;Data_Input!J17,1,0)+IF(Data_Input!K17=1,1,0)</f>
        <v>0</v>
      </c>
      <c r="I17" s="21" t="n">
        <f aca="false">H17/6*100</f>
        <v>0</v>
      </c>
      <c r="J17" s="20" t="n">
        <f aca="false">Data_Input!N17+Data_Input!O17*0.1</f>
        <v>0</v>
      </c>
      <c r="K17" s="21" t="n">
        <f aca="false">IFERROR((COUNT($J$5:$J$20)-RANK(J17,$J$5:$J$20))/(COUNT($J$5:$J$20)-1)*100,0)</f>
        <v>100</v>
      </c>
      <c r="L17" s="20" t="n">
        <f aca="false">MIN(100,MAX(0,Data_Input!L17))</f>
        <v>0</v>
      </c>
      <c r="M17" s="20" t="n">
        <f aca="false">(Data_Input!W17+2)/4*100</f>
        <v>50</v>
      </c>
      <c r="N17" s="22" t="n">
        <f aca="false">(G17*Settings!$B$11+I17*Settings!$B$12+K17*Settings!$B$13+L17*Settings!$B$14+M17*Settings!$B$15)/100</f>
        <v>57.5</v>
      </c>
      <c r="O17" s="23" t="n">
        <f aca="false">RANK(N17,$N$5:$N$20)</f>
        <v>1</v>
      </c>
      <c r="P17" s="22" t="str">
        <f aca="false">IF(Settings!$B$32=0,"AVOID (Gate 0)",IF(N17&gt;=Settings!$B$27,"STRONG",IF(N17&gt;=Settings!$B$28,"NEUTRAL","AVOID")))</f>
        <v>NEUTRAL</v>
      </c>
    </row>
    <row r="18" customFormat="false" ht="15" hidden="false" customHeight="false" outlineLevel="0" collapsed="false">
      <c r="A18" s="19" t="str">
        <f aca="false">Data_Input!A18</f>
        <v>MEDIA</v>
      </c>
      <c r="B18" s="19" t="str">
        <f aca="false">Data_Input!B18</f>
        <v>Nifty Media</v>
      </c>
      <c r="C18" s="20" t="n">
        <f aca="false">Data_Input!D18-Settings!$B$5</f>
        <v>0</v>
      </c>
      <c r="D18" s="20" t="n">
        <f aca="false">Data_Input!E18-Settings!$B$6</f>
        <v>0</v>
      </c>
      <c r="E18" s="20" t="n">
        <f aca="false">Data_Input!F18-Settings!$B$7</f>
        <v>0</v>
      </c>
      <c r="F18" s="21" t="n">
        <f aca="false">0.5*C18+0.3*D18+0.2*E18</f>
        <v>0</v>
      </c>
      <c r="G18" s="21" t="n">
        <f aca="false">IFERROR((COUNT($F$5:$F$20)-RANK(F18,$F$5:$F$20))/(COUNT($F$5:$F$20)-1)*100,0)</f>
        <v>100</v>
      </c>
      <c r="H18" s="20" t="n">
        <f aca="false">IF(Data_Input!H18&gt;Data_Input!I18,2,0)+IF(Data_Input!I18&gt;Data_Input!J18,2,0)+IF(Data_Input!H18&gt;Data_Input!J18,1,0)+IF(Data_Input!K18=1,1,0)</f>
        <v>0</v>
      </c>
      <c r="I18" s="21" t="n">
        <f aca="false">H18/6*100</f>
        <v>0</v>
      </c>
      <c r="J18" s="20" t="n">
        <f aca="false">Data_Input!N18+Data_Input!O18*0.1</f>
        <v>0</v>
      </c>
      <c r="K18" s="21" t="n">
        <f aca="false">IFERROR((COUNT($J$5:$J$20)-RANK(J18,$J$5:$J$20))/(COUNT($J$5:$J$20)-1)*100,0)</f>
        <v>100</v>
      </c>
      <c r="L18" s="20" t="n">
        <f aca="false">MIN(100,MAX(0,Data_Input!L18))</f>
        <v>0</v>
      </c>
      <c r="M18" s="20" t="n">
        <f aca="false">(Data_Input!W18+2)/4*100</f>
        <v>50</v>
      </c>
      <c r="N18" s="22" t="n">
        <f aca="false">(G18*Settings!$B$11+I18*Settings!$B$12+K18*Settings!$B$13+L18*Settings!$B$14+M18*Settings!$B$15)/100</f>
        <v>57.5</v>
      </c>
      <c r="O18" s="23" t="n">
        <f aca="false">RANK(N18,$N$5:$N$20)</f>
        <v>1</v>
      </c>
      <c r="P18" s="22" t="str">
        <f aca="false">IF(Settings!$B$32=0,"AVOID (Gate 0)",IF(N18&gt;=Settings!$B$27,"STRONG",IF(N18&gt;=Settings!$B$28,"NEUTRAL","AVOID")))</f>
        <v>NEUTRAL</v>
      </c>
    </row>
    <row r="19" customFormat="false" ht="15" hidden="false" customHeight="false" outlineLevel="0" collapsed="false">
      <c r="A19" s="19" t="str">
        <f aca="false">Data_Input!A19</f>
        <v>CONSDUR</v>
      </c>
      <c r="B19" s="19" t="str">
        <f aca="false">Data_Input!B19</f>
        <v>Nifty Consumer Durables</v>
      </c>
      <c r="C19" s="20" t="n">
        <f aca="false">Data_Input!D19-Settings!$B$5</f>
        <v>0</v>
      </c>
      <c r="D19" s="20" t="n">
        <f aca="false">Data_Input!E19-Settings!$B$6</f>
        <v>0</v>
      </c>
      <c r="E19" s="20" t="n">
        <f aca="false">Data_Input!F19-Settings!$B$7</f>
        <v>0</v>
      </c>
      <c r="F19" s="21" t="n">
        <f aca="false">0.5*C19+0.3*D19+0.2*E19</f>
        <v>0</v>
      </c>
      <c r="G19" s="21" t="n">
        <f aca="false">IFERROR((COUNT($F$5:$F$20)-RANK(F19,$F$5:$F$20))/(COUNT($F$5:$F$20)-1)*100,0)</f>
        <v>100</v>
      </c>
      <c r="H19" s="20" t="n">
        <f aca="false">IF(Data_Input!H19&gt;Data_Input!I19,2,0)+IF(Data_Input!I19&gt;Data_Input!J19,2,0)+IF(Data_Input!H19&gt;Data_Input!J19,1,0)+IF(Data_Input!K19=1,1,0)</f>
        <v>0</v>
      </c>
      <c r="I19" s="21" t="n">
        <f aca="false">H19/6*100</f>
        <v>0</v>
      </c>
      <c r="J19" s="20" t="n">
        <f aca="false">Data_Input!N19+Data_Input!O19*0.1</f>
        <v>0</v>
      </c>
      <c r="K19" s="21" t="n">
        <f aca="false">IFERROR((COUNT($J$5:$J$20)-RANK(J19,$J$5:$J$20))/(COUNT($J$5:$J$20)-1)*100,0)</f>
        <v>100</v>
      </c>
      <c r="L19" s="20" t="n">
        <f aca="false">MIN(100,MAX(0,Data_Input!L19))</f>
        <v>0</v>
      </c>
      <c r="M19" s="20" t="n">
        <f aca="false">(Data_Input!W19+2)/4*100</f>
        <v>50</v>
      </c>
      <c r="N19" s="22" t="n">
        <f aca="false">(G19*Settings!$B$11+I19*Settings!$B$12+K19*Settings!$B$13+L19*Settings!$B$14+M19*Settings!$B$15)/100</f>
        <v>57.5</v>
      </c>
      <c r="O19" s="23" t="n">
        <f aca="false">RANK(N19,$N$5:$N$20)</f>
        <v>1</v>
      </c>
      <c r="P19" s="22" t="str">
        <f aca="false">IF(Settings!$B$32=0,"AVOID (Gate 0)",IF(N19&gt;=Settings!$B$27,"STRONG",IF(N19&gt;=Settings!$B$28,"NEUTRAL","AVOID")))</f>
        <v>NEUTRAL</v>
      </c>
    </row>
    <row r="20" customFormat="false" ht="15" hidden="false" customHeight="false" outlineLevel="0" collapsed="false">
      <c r="A20" s="19" t="str">
        <f aca="false">Data_Input!A20</f>
        <v>INFRA</v>
      </c>
      <c r="B20" s="19" t="str">
        <f aca="false">Data_Input!B20</f>
        <v>Nifty Infrastructure</v>
      </c>
      <c r="C20" s="20" t="n">
        <f aca="false">Data_Input!D20-Settings!$B$5</f>
        <v>0</v>
      </c>
      <c r="D20" s="20" t="n">
        <f aca="false">Data_Input!E20-Settings!$B$6</f>
        <v>0</v>
      </c>
      <c r="E20" s="20" t="n">
        <f aca="false">Data_Input!F20-Settings!$B$7</f>
        <v>0</v>
      </c>
      <c r="F20" s="21" t="n">
        <f aca="false">0.5*C20+0.3*D20+0.2*E20</f>
        <v>0</v>
      </c>
      <c r="G20" s="21" t="n">
        <f aca="false">IFERROR((COUNT($F$5:$F$20)-RANK(F20,$F$5:$F$20))/(COUNT($F$5:$F$20)-1)*100,0)</f>
        <v>100</v>
      </c>
      <c r="H20" s="20" t="n">
        <f aca="false">IF(Data_Input!H20&gt;Data_Input!I20,2,0)+IF(Data_Input!I20&gt;Data_Input!J20,2,0)+IF(Data_Input!H20&gt;Data_Input!J20,1,0)+IF(Data_Input!K20=1,1,0)</f>
        <v>0</v>
      </c>
      <c r="I20" s="21" t="n">
        <f aca="false">H20/6*100</f>
        <v>0</v>
      </c>
      <c r="J20" s="20" t="n">
        <f aca="false">Data_Input!N20+Data_Input!O20*0.1</f>
        <v>0</v>
      </c>
      <c r="K20" s="21" t="n">
        <f aca="false">IFERROR((COUNT($J$5:$J$20)-RANK(J20,$J$5:$J$20))/(COUNT($J$5:$J$20)-1)*100,0)</f>
        <v>100</v>
      </c>
      <c r="L20" s="20" t="n">
        <f aca="false">MIN(100,MAX(0,Data_Input!L20))</f>
        <v>0</v>
      </c>
      <c r="M20" s="20" t="n">
        <f aca="false">(Data_Input!W20+2)/4*100</f>
        <v>50</v>
      </c>
      <c r="N20" s="22" t="n">
        <f aca="false">(G20*Settings!$B$11+I20*Settings!$B$12+K20*Settings!$B$13+L20*Settings!$B$14+M20*Settings!$B$15)/100</f>
        <v>57.5</v>
      </c>
      <c r="O20" s="23" t="n">
        <f aca="false">RANK(N20,$N$5:$N$20)</f>
        <v>1</v>
      </c>
      <c r="P20" s="22" t="str">
        <f aca="false">IF(Settings!$B$32=0,"AVOID (Gate 0)",IF(N20&gt;=Settings!$B$27,"STRONG",IF(N20&gt;=Settings!$B$28,"NEUTRAL","AVOID")))</f>
        <v>NEUTRAL</v>
      </c>
    </row>
    <row r="22" customFormat="false" ht="15" hidden="false" customHeight="false" outlineLevel="0" collapsed="false">
      <c r="A22" s="2" t="s">
        <v>184</v>
      </c>
    </row>
    <row r="23" customFormat="false" ht="15" hidden="false" customHeight="false" outlineLevel="0" collapsed="false">
      <c r="A23" s="2" t="s">
        <v>185</v>
      </c>
    </row>
    <row r="24" customFormat="false" ht="15" hidden="false" customHeight="false" outlineLevel="0" collapsed="false">
      <c r="A24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31.5" hidden="false" customHeight="true" outlineLevel="0" collapsed="false">
      <c r="A4" s="12" t="s">
        <v>85</v>
      </c>
      <c r="B4" s="12" t="s">
        <v>86</v>
      </c>
      <c r="C4" s="12" t="s">
        <v>189</v>
      </c>
      <c r="D4" s="12" t="s">
        <v>190</v>
      </c>
      <c r="E4" s="12" t="s">
        <v>191</v>
      </c>
      <c r="F4" s="12" t="s">
        <v>192</v>
      </c>
      <c r="G4" s="12" t="s">
        <v>193</v>
      </c>
      <c r="H4" s="12" t="s">
        <v>194</v>
      </c>
      <c r="I4" s="12" t="s">
        <v>195</v>
      </c>
      <c r="J4" s="12" t="s">
        <v>196</v>
      </c>
      <c r="K4" s="12" t="s">
        <v>197</v>
      </c>
      <c r="L4" s="12" t="s">
        <v>198</v>
      </c>
      <c r="M4" s="12" t="s">
        <v>181</v>
      </c>
      <c r="N4" s="12" t="s">
        <v>182</v>
      </c>
      <c r="O4" s="12" t="s">
        <v>183</v>
      </c>
    </row>
    <row r="5" customFormat="false" ht="15" hidden="false" customHeight="false" outlineLevel="0" collapsed="false">
      <c r="A5" s="19" t="str">
        <f aca="false">Data_Input!A5</f>
        <v>BANK</v>
      </c>
      <c r="B5" s="19" t="str">
        <f aca="false">Data_Input!B5</f>
        <v>Nifty Bank</v>
      </c>
      <c r="C5" s="20" t="n">
        <f aca="false">0.4*Data_Input!P5+0.6*Data_Input!Q5</f>
        <v>0</v>
      </c>
      <c r="D5" s="21" t="n">
        <f aca="false">IFERROR((COUNT($C$5:$C$20)-RANK(C5,$C$5:$C$20))/(COUNT($C$5:$C$20)-1)*100,0)</f>
        <v>100</v>
      </c>
      <c r="E5" s="20" t="n">
        <f aca="false">Data_Input!G5</f>
        <v>0</v>
      </c>
      <c r="F5" s="24" t="n">
        <f aca="false">IF(Data_Input!H5&gt;Data_Input!J5,1,0.5)</f>
        <v>0.5</v>
      </c>
      <c r="G5" s="21" t="n">
        <f aca="false">IFERROR((COUNT($E$5:$E$20)-RANK(E5,$E$5:$E$20))/(COUNT($E$5:$E$20)-1)*100*F5,0)</f>
        <v>50</v>
      </c>
      <c r="H5" s="24" t="str">
        <f aca="false">IF(OR(Data_Input!R5&lt;=0,Data_Input!S5&lt;=0),"",Data_Input!R5/Data_Input!S5)</f>
        <v/>
      </c>
      <c r="I5" s="24" t="str">
        <f aca="false">IF(OR(Data_Input!T5&lt;=0,Data_Input!U5&lt;=0),"",Data_Input!T5/Data_Input!U5)</f>
        <v/>
      </c>
      <c r="J5" s="25" t="str">
        <f aca="false">IF(AND(H5="",I5=""),"",IF(H5="",I5,IF(I5="",H5,(H5+I5)/2)))</f>
        <v/>
      </c>
      <c r="K5" s="21" t="n">
        <f aca="false">IF(J5="",0,IFERROR((COUNT($J$5:$J$20)-RANK(J5,$J$5:$J$20,1))/(COUNT($J$5:$J$20)-1)*100,0))</f>
        <v>0</v>
      </c>
      <c r="L5" s="20" t="n">
        <f aca="false">(Data_Input!V5-1)/4*100</f>
        <v>-25</v>
      </c>
      <c r="M5" s="22" t="n">
        <f aca="false">(D5*Settings!$B$19+G5*Settings!$B$20+K5*Settings!$B$21+L5*Settings!$B$22)/100</f>
        <v>42.5</v>
      </c>
      <c r="N5" s="23" t="n">
        <f aca="false">RANK(M5,$M$5:$M$20)</f>
        <v>1</v>
      </c>
      <c r="O5" s="22" t="str">
        <f aca="false">IF(M5&gt;=Settings!$B$27,"STRONG",IF(M5&gt;=Settings!$B$28,"NEUTRAL","AVOID"))</f>
        <v>AVOID</v>
      </c>
    </row>
    <row r="6" customFormat="false" ht="15" hidden="false" customHeight="false" outlineLevel="0" collapsed="false">
      <c r="A6" s="19" t="str">
        <f aca="false">Data_Input!A6</f>
        <v>FINSRV</v>
      </c>
      <c r="B6" s="19" t="str">
        <f aca="false">Data_Input!B6</f>
        <v>Nifty Financial Services</v>
      </c>
      <c r="C6" s="20" t="n">
        <f aca="false">0.4*Data_Input!P6+0.6*Data_Input!Q6</f>
        <v>0</v>
      </c>
      <c r="D6" s="21" t="n">
        <f aca="false">IFERROR((COUNT($C$5:$C$20)-RANK(C6,$C$5:$C$20))/(COUNT($C$5:$C$20)-1)*100,0)</f>
        <v>100</v>
      </c>
      <c r="E6" s="20" t="n">
        <f aca="false">Data_Input!G6</f>
        <v>0</v>
      </c>
      <c r="F6" s="24" t="n">
        <f aca="false">IF(Data_Input!H6&gt;Data_Input!J6,1,0.5)</f>
        <v>0.5</v>
      </c>
      <c r="G6" s="21" t="n">
        <f aca="false">IFERROR((COUNT($E$5:$E$20)-RANK(E6,$E$5:$E$20))/(COUNT($E$5:$E$20)-1)*100*F6,0)</f>
        <v>50</v>
      </c>
      <c r="H6" s="24" t="str">
        <f aca="false">IF(OR(Data_Input!R6&lt;=0,Data_Input!S6&lt;=0),"",Data_Input!R6/Data_Input!S6)</f>
        <v/>
      </c>
      <c r="I6" s="24" t="str">
        <f aca="false">IF(OR(Data_Input!T6&lt;=0,Data_Input!U6&lt;=0),"",Data_Input!T6/Data_Input!U6)</f>
        <v/>
      </c>
      <c r="J6" s="25" t="str">
        <f aca="false">IF(AND(H6="",I6=""),"",IF(H6="",I6,IF(I6="",H6,(H6+I6)/2)))</f>
        <v/>
      </c>
      <c r="K6" s="21" t="n">
        <f aca="false">IF(J6="",0,IFERROR((COUNT($J$5:$J$20)-RANK(J6,$J$5:$J$20,1))/(COUNT($J$5:$J$20)-1)*100,0))</f>
        <v>0</v>
      </c>
      <c r="L6" s="20" t="n">
        <f aca="false">(Data_Input!V6-1)/4*100</f>
        <v>-25</v>
      </c>
      <c r="M6" s="22" t="n">
        <f aca="false">(D6*Settings!$B$19+G6*Settings!$B$20+K6*Settings!$B$21+L6*Settings!$B$22)/100</f>
        <v>42.5</v>
      </c>
      <c r="N6" s="23" t="n">
        <f aca="false">RANK(M6,$M$5:$M$20)</f>
        <v>1</v>
      </c>
      <c r="O6" s="22" t="str">
        <f aca="false">IF(M6&gt;=Settings!$B$27,"STRONG",IF(M6&gt;=Settings!$B$28,"NEUTRAL","AVOID"))</f>
        <v>AVOID</v>
      </c>
    </row>
    <row r="7" customFormat="false" ht="15" hidden="false" customHeight="false" outlineLevel="0" collapsed="false">
      <c r="A7" s="19" t="str">
        <f aca="false">Data_Input!A7</f>
        <v>PVTBANK</v>
      </c>
      <c r="B7" s="19" t="str">
        <f aca="false">Data_Input!B7</f>
        <v>Nifty Private Bank</v>
      </c>
      <c r="C7" s="20" t="n">
        <f aca="false">0.4*Data_Input!P7+0.6*Data_Input!Q7</f>
        <v>0</v>
      </c>
      <c r="D7" s="21" t="n">
        <f aca="false">IFERROR((COUNT($C$5:$C$20)-RANK(C7,$C$5:$C$20))/(COUNT($C$5:$C$20)-1)*100,0)</f>
        <v>100</v>
      </c>
      <c r="E7" s="20" t="n">
        <f aca="false">Data_Input!G7</f>
        <v>0</v>
      </c>
      <c r="F7" s="24" t="n">
        <f aca="false">IF(Data_Input!H7&gt;Data_Input!J7,1,0.5)</f>
        <v>0.5</v>
      </c>
      <c r="G7" s="21" t="n">
        <f aca="false">IFERROR((COUNT($E$5:$E$20)-RANK(E7,$E$5:$E$20))/(COUNT($E$5:$E$20)-1)*100*F7,0)</f>
        <v>50</v>
      </c>
      <c r="H7" s="24" t="str">
        <f aca="false">IF(OR(Data_Input!R7&lt;=0,Data_Input!S7&lt;=0),"",Data_Input!R7/Data_Input!S7)</f>
        <v/>
      </c>
      <c r="I7" s="24" t="str">
        <f aca="false">IF(OR(Data_Input!T7&lt;=0,Data_Input!U7&lt;=0),"",Data_Input!T7/Data_Input!U7)</f>
        <v/>
      </c>
      <c r="J7" s="25" t="str">
        <f aca="false">IF(AND(H7="",I7=""),"",IF(H7="",I7,IF(I7="",H7,(H7+I7)/2)))</f>
        <v/>
      </c>
      <c r="K7" s="21" t="n">
        <f aca="false">IF(J7="",0,IFERROR((COUNT($J$5:$J$20)-RANK(J7,$J$5:$J$20,1))/(COUNT($J$5:$J$20)-1)*100,0))</f>
        <v>0</v>
      </c>
      <c r="L7" s="20" t="n">
        <f aca="false">(Data_Input!V7-1)/4*100</f>
        <v>-25</v>
      </c>
      <c r="M7" s="22" t="n">
        <f aca="false">(D7*Settings!$B$19+G7*Settings!$B$20+K7*Settings!$B$21+L7*Settings!$B$22)/100</f>
        <v>42.5</v>
      </c>
      <c r="N7" s="23" t="n">
        <f aca="false">RANK(M7,$M$5:$M$20)</f>
        <v>1</v>
      </c>
      <c r="O7" s="22" t="str">
        <f aca="false">IF(M7&gt;=Settings!$B$27,"STRONG",IF(M7&gt;=Settings!$B$28,"NEUTRAL","AVOID"))</f>
        <v>AVOID</v>
      </c>
    </row>
    <row r="8" customFormat="false" ht="15" hidden="false" customHeight="false" outlineLevel="0" collapsed="false">
      <c r="A8" s="19" t="str">
        <f aca="false">Data_Input!A8</f>
        <v>PSUBANK</v>
      </c>
      <c r="B8" s="19" t="str">
        <f aca="false">Data_Input!B8</f>
        <v>Nifty PSU Bank</v>
      </c>
      <c r="C8" s="20" t="n">
        <f aca="false">0.4*Data_Input!P8+0.6*Data_Input!Q8</f>
        <v>0</v>
      </c>
      <c r="D8" s="21" t="n">
        <f aca="false">IFERROR((COUNT($C$5:$C$20)-RANK(C8,$C$5:$C$20))/(COUNT($C$5:$C$20)-1)*100,0)</f>
        <v>100</v>
      </c>
      <c r="E8" s="20" t="n">
        <f aca="false">Data_Input!G8</f>
        <v>0</v>
      </c>
      <c r="F8" s="24" t="n">
        <f aca="false">IF(Data_Input!H8&gt;Data_Input!J8,1,0.5)</f>
        <v>0.5</v>
      </c>
      <c r="G8" s="21" t="n">
        <f aca="false">IFERROR((COUNT($E$5:$E$20)-RANK(E8,$E$5:$E$20))/(COUNT($E$5:$E$20)-1)*100*F8,0)</f>
        <v>50</v>
      </c>
      <c r="H8" s="24" t="str">
        <f aca="false">IF(OR(Data_Input!R8&lt;=0,Data_Input!S8&lt;=0),"",Data_Input!R8/Data_Input!S8)</f>
        <v/>
      </c>
      <c r="I8" s="24" t="str">
        <f aca="false">IF(OR(Data_Input!T8&lt;=0,Data_Input!U8&lt;=0),"",Data_Input!T8/Data_Input!U8)</f>
        <v/>
      </c>
      <c r="J8" s="25" t="str">
        <f aca="false">IF(AND(H8="",I8=""),"",IF(H8="",I8,IF(I8="",H8,(H8+I8)/2)))</f>
        <v/>
      </c>
      <c r="K8" s="21" t="n">
        <f aca="false">IF(J8="",0,IFERROR((COUNT($J$5:$J$20)-RANK(J8,$J$5:$J$20,1))/(COUNT($J$5:$J$20)-1)*100,0))</f>
        <v>0</v>
      </c>
      <c r="L8" s="20" t="n">
        <f aca="false">(Data_Input!V8-1)/4*100</f>
        <v>-25</v>
      </c>
      <c r="M8" s="22" t="n">
        <f aca="false">(D8*Settings!$B$19+G8*Settings!$B$20+K8*Settings!$B$21+L8*Settings!$B$22)/100</f>
        <v>42.5</v>
      </c>
      <c r="N8" s="23" t="n">
        <f aca="false">RANK(M8,$M$5:$M$20)</f>
        <v>1</v>
      </c>
      <c r="O8" s="22" t="str">
        <f aca="false">IF(M8&gt;=Settings!$B$27,"STRONG",IF(M8&gt;=Settings!$B$28,"NEUTRAL","AVOID"))</f>
        <v>AVOID</v>
      </c>
    </row>
    <row r="9" customFormat="false" ht="15" hidden="false" customHeight="false" outlineLevel="0" collapsed="false">
      <c r="A9" s="19" t="str">
        <f aca="false">Data_Input!A9</f>
        <v>IT</v>
      </c>
      <c r="B9" s="19" t="str">
        <f aca="false">Data_Input!B9</f>
        <v>Nifty IT</v>
      </c>
      <c r="C9" s="20" t="n">
        <f aca="false">0.4*Data_Input!P9+0.6*Data_Input!Q9</f>
        <v>0</v>
      </c>
      <c r="D9" s="21" t="n">
        <f aca="false">IFERROR((COUNT($C$5:$C$20)-RANK(C9,$C$5:$C$20))/(COUNT($C$5:$C$20)-1)*100,0)</f>
        <v>100</v>
      </c>
      <c r="E9" s="20" t="n">
        <f aca="false">Data_Input!G9</f>
        <v>0</v>
      </c>
      <c r="F9" s="24" t="n">
        <f aca="false">IF(Data_Input!H9&gt;Data_Input!J9,1,0.5)</f>
        <v>0.5</v>
      </c>
      <c r="G9" s="21" t="n">
        <f aca="false">IFERROR((COUNT($E$5:$E$20)-RANK(E9,$E$5:$E$20))/(COUNT($E$5:$E$20)-1)*100*F9,0)</f>
        <v>50</v>
      </c>
      <c r="H9" s="24" t="str">
        <f aca="false">IF(OR(Data_Input!R9&lt;=0,Data_Input!S9&lt;=0),"",Data_Input!R9/Data_Input!S9)</f>
        <v/>
      </c>
      <c r="I9" s="24" t="str">
        <f aca="false">IF(OR(Data_Input!T9&lt;=0,Data_Input!U9&lt;=0),"",Data_Input!T9/Data_Input!U9)</f>
        <v/>
      </c>
      <c r="J9" s="25" t="str">
        <f aca="false">IF(AND(H9="",I9=""),"",IF(H9="",I9,IF(I9="",H9,(H9+I9)/2)))</f>
        <v/>
      </c>
      <c r="K9" s="21" t="n">
        <f aca="false">IF(J9="",0,IFERROR((COUNT($J$5:$J$20)-RANK(J9,$J$5:$J$20,1))/(COUNT($J$5:$J$20)-1)*100,0))</f>
        <v>0</v>
      </c>
      <c r="L9" s="20" t="n">
        <f aca="false">(Data_Input!V9-1)/4*100</f>
        <v>-25</v>
      </c>
      <c r="M9" s="22" t="n">
        <f aca="false">(D9*Settings!$B$19+G9*Settings!$B$20+K9*Settings!$B$21+L9*Settings!$B$22)/100</f>
        <v>42.5</v>
      </c>
      <c r="N9" s="23" t="n">
        <f aca="false">RANK(M9,$M$5:$M$20)</f>
        <v>1</v>
      </c>
      <c r="O9" s="22" t="str">
        <f aca="false">IF(M9&gt;=Settings!$B$27,"STRONG",IF(M9&gt;=Settings!$B$28,"NEUTRAL","AVOID"))</f>
        <v>AVOID</v>
      </c>
    </row>
    <row r="10" customFormat="false" ht="15" hidden="false" customHeight="false" outlineLevel="0" collapsed="false">
      <c r="A10" s="19" t="str">
        <f aca="false">Data_Input!A10</f>
        <v>AUTO</v>
      </c>
      <c r="B10" s="19" t="str">
        <f aca="false">Data_Input!B10</f>
        <v>Nifty Auto</v>
      </c>
      <c r="C10" s="20" t="n">
        <f aca="false">0.4*Data_Input!P10+0.6*Data_Input!Q10</f>
        <v>0</v>
      </c>
      <c r="D10" s="21" t="n">
        <f aca="false">IFERROR((COUNT($C$5:$C$20)-RANK(C10,$C$5:$C$20))/(COUNT($C$5:$C$20)-1)*100,0)</f>
        <v>100</v>
      </c>
      <c r="E10" s="20" t="n">
        <f aca="false">Data_Input!G10</f>
        <v>0</v>
      </c>
      <c r="F10" s="24" t="n">
        <f aca="false">IF(Data_Input!H10&gt;Data_Input!J10,1,0.5)</f>
        <v>0.5</v>
      </c>
      <c r="G10" s="21" t="n">
        <f aca="false">IFERROR((COUNT($E$5:$E$20)-RANK(E10,$E$5:$E$20))/(COUNT($E$5:$E$20)-1)*100*F10,0)</f>
        <v>50</v>
      </c>
      <c r="H10" s="24" t="str">
        <f aca="false">IF(OR(Data_Input!R10&lt;=0,Data_Input!S10&lt;=0),"",Data_Input!R10/Data_Input!S10)</f>
        <v/>
      </c>
      <c r="I10" s="24" t="str">
        <f aca="false">IF(OR(Data_Input!T10&lt;=0,Data_Input!U10&lt;=0),"",Data_Input!T10/Data_Input!U10)</f>
        <v/>
      </c>
      <c r="J10" s="25" t="str">
        <f aca="false">IF(AND(H10="",I10=""),"",IF(H10="",I10,IF(I10="",H10,(H10+I10)/2)))</f>
        <v/>
      </c>
      <c r="K10" s="21" t="n">
        <f aca="false">IF(J10="",0,IFERROR((COUNT($J$5:$J$20)-RANK(J10,$J$5:$J$20,1))/(COUNT($J$5:$J$20)-1)*100,0))</f>
        <v>0</v>
      </c>
      <c r="L10" s="20" t="n">
        <f aca="false">(Data_Input!V10-1)/4*100</f>
        <v>-25</v>
      </c>
      <c r="M10" s="22" t="n">
        <f aca="false">(D10*Settings!$B$19+G10*Settings!$B$20+K10*Settings!$B$21+L10*Settings!$B$22)/100</f>
        <v>42.5</v>
      </c>
      <c r="N10" s="23" t="n">
        <f aca="false">RANK(M10,$M$5:$M$20)</f>
        <v>1</v>
      </c>
      <c r="O10" s="22" t="str">
        <f aca="false">IF(M10&gt;=Settings!$B$27,"STRONG",IF(M10&gt;=Settings!$B$28,"NEUTRAL","AVOID"))</f>
        <v>AVOID</v>
      </c>
    </row>
    <row r="11" customFormat="false" ht="15" hidden="false" customHeight="false" outlineLevel="0" collapsed="false">
      <c r="A11" s="19" t="str">
        <f aca="false">Data_Input!A11</f>
        <v>PHARMA</v>
      </c>
      <c r="B11" s="19" t="str">
        <f aca="false">Data_Input!B11</f>
        <v>Nifty Pharma</v>
      </c>
      <c r="C11" s="20" t="n">
        <f aca="false">0.4*Data_Input!P11+0.6*Data_Input!Q11</f>
        <v>0</v>
      </c>
      <c r="D11" s="21" t="n">
        <f aca="false">IFERROR((COUNT($C$5:$C$20)-RANK(C11,$C$5:$C$20))/(COUNT($C$5:$C$20)-1)*100,0)</f>
        <v>100</v>
      </c>
      <c r="E11" s="20" t="n">
        <f aca="false">Data_Input!G11</f>
        <v>0</v>
      </c>
      <c r="F11" s="24" t="n">
        <f aca="false">IF(Data_Input!H11&gt;Data_Input!J11,1,0.5)</f>
        <v>0.5</v>
      </c>
      <c r="G11" s="21" t="n">
        <f aca="false">IFERROR((COUNT($E$5:$E$20)-RANK(E11,$E$5:$E$20))/(COUNT($E$5:$E$20)-1)*100*F11,0)</f>
        <v>50</v>
      </c>
      <c r="H11" s="24" t="str">
        <f aca="false">IF(OR(Data_Input!R11&lt;=0,Data_Input!S11&lt;=0),"",Data_Input!R11/Data_Input!S11)</f>
        <v/>
      </c>
      <c r="I11" s="24" t="str">
        <f aca="false">IF(OR(Data_Input!T11&lt;=0,Data_Input!U11&lt;=0),"",Data_Input!T11/Data_Input!U11)</f>
        <v/>
      </c>
      <c r="J11" s="25" t="str">
        <f aca="false">IF(AND(H11="",I11=""),"",IF(H11="",I11,IF(I11="",H11,(H11+I11)/2)))</f>
        <v/>
      </c>
      <c r="K11" s="21" t="n">
        <f aca="false">IF(J11="",0,IFERROR((COUNT($J$5:$J$20)-RANK(J11,$J$5:$J$20,1))/(COUNT($J$5:$J$20)-1)*100,0))</f>
        <v>0</v>
      </c>
      <c r="L11" s="20" t="n">
        <f aca="false">(Data_Input!V11-1)/4*100</f>
        <v>-25</v>
      </c>
      <c r="M11" s="22" t="n">
        <f aca="false">(D11*Settings!$B$19+G11*Settings!$B$20+K11*Settings!$B$21+L11*Settings!$B$22)/100</f>
        <v>42.5</v>
      </c>
      <c r="N11" s="23" t="n">
        <f aca="false">RANK(M11,$M$5:$M$20)</f>
        <v>1</v>
      </c>
      <c r="O11" s="22" t="str">
        <f aca="false">IF(M11&gt;=Settings!$B$27,"STRONG",IF(M11&gt;=Settings!$B$28,"NEUTRAL","AVOID"))</f>
        <v>AVOID</v>
      </c>
    </row>
    <row r="12" customFormat="false" ht="15" hidden="false" customHeight="false" outlineLevel="0" collapsed="false">
      <c r="A12" s="19" t="str">
        <f aca="false">Data_Input!A12</f>
        <v>HEALTH</v>
      </c>
      <c r="B12" s="19" t="str">
        <f aca="false">Data_Input!B12</f>
        <v>Nifty Healthcare</v>
      </c>
      <c r="C12" s="20" t="n">
        <f aca="false">0.4*Data_Input!P12+0.6*Data_Input!Q12</f>
        <v>0</v>
      </c>
      <c r="D12" s="21" t="n">
        <f aca="false">IFERROR((COUNT($C$5:$C$20)-RANK(C12,$C$5:$C$20))/(COUNT($C$5:$C$20)-1)*100,0)</f>
        <v>100</v>
      </c>
      <c r="E12" s="20" t="n">
        <f aca="false">Data_Input!G12</f>
        <v>0</v>
      </c>
      <c r="F12" s="24" t="n">
        <f aca="false">IF(Data_Input!H12&gt;Data_Input!J12,1,0.5)</f>
        <v>0.5</v>
      </c>
      <c r="G12" s="21" t="n">
        <f aca="false">IFERROR((COUNT($E$5:$E$20)-RANK(E12,$E$5:$E$20))/(COUNT($E$5:$E$20)-1)*100*F12,0)</f>
        <v>50</v>
      </c>
      <c r="H12" s="24" t="str">
        <f aca="false">IF(OR(Data_Input!R12&lt;=0,Data_Input!S12&lt;=0),"",Data_Input!R12/Data_Input!S12)</f>
        <v/>
      </c>
      <c r="I12" s="24" t="str">
        <f aca="false">IF(OR(Data_Input!T12&lt;=0,Data_Input!U12&lt;=0),"",Data_Input!T12/Data_Input!U12)</f>
        <v/>
      </c>
      <c r="J12" s="25" t="str">
        <f aca="false">IF(AND(H12="",I12=""),"",IF(H12="",I12,IF(I12="",H12,(H12+I12)/2)))</f>
        <v/>
      </c>
      <c r="K12" s="21" t="n">
        <f aca="false">IF(J12="",0,IFERROR((COUNT($J$5:$J$20)-RANK(J12,$J$5:$J$20,1))/(COUNT($J$5:$J$20)-1)*100,0))</f>
        <v>0</v>
      </c>
      <c r="L12" s="20" t="n">
        <f aca="false">(Data_Input!V12-1)/4*100</f>
        <v>-25</v>
      </c>
      <c r="M12" s="22" t="n">
        <f aca="false">(D12*Settings!$B$19+G12*Settings!$B$20+K12*Settings!$B$21+L12*Settings!$B$22)/100</f>
        <v>42.5</v>
      </c>
      <c r="N12" s="23" t="n">
        <f aca="false">RANK(M12,$M$5:$M$20)</f>
        <v>1</v>
      </c>
      <c r="O12" s="22" t="str">
        <f aca="false">IF(M12&gt;=Settings!$B$27,"STRONG",IF(M12&gt;=Settings!$B$28,"NEUTRAL","AVOID"))</f>
        <v>AVOID</v>
      </c>
    </row>
    <row r="13" customFormat="false" ht="15" hidden="false" customHeight="false" outlineLevel="0" collapsed="false">
      <c r="A13" s="19" t="str">
        <f aca="false">Data_Input!A13</f>
        <v>FMCG</v>
      </c>
      <c r="B13" s="19" t="str">
        <f aca="false">Data_Input!B13</f>
        <v>Nifty FMCG</v>
      </c>
      <c r="C13" s="20" t="n">
        <f aca="false">0.4*Data_Input!P13+0.6*Data_Input!Q13</f>
        <v>0</v>
      </c>
      <c r="D13" s="21" t="n">
        <f aca="false">IFERROR((COUNT($C$5:$C$20)-RANK(C13,$C$5:$C$20))/(COUNT($C$5:$C$20)-1)*100,0)</f>
        <v>100</v>
      </c>
      <c r="E13" s="20" t="n">
        <f aca="false">Data_Input!G13</f>
        <v>0</v>
      </c>
      <c r="F13" s="24" t="n">
        <f aca="false">IF(Data_Input!H13&gt;Data_Input!J13,1,0.5)</f>
        <v>0.5</v>
      </c>
      <c r="G13" s="21" t="n">
        <f aca="false">IFERROR((COUNT($E$5:$E$20)-RANK(E13,$E$5:$E$20))/(COUNT($E$5:$E$20)-1)*100*F13,0)</f>
        <v>50</v>
      </c>
      <c r="H13" s="24" t="str">
        <f aca="false">IF(OR(Data_Input!R13&lt;=0,Data_Input!S13&lt;=0),"",Data_Input!R13/Data_Input!S13)</f>
        <v/>
      </c>
      <c r="I13" s="24" t="str">
        <f aca="false">IF(OR(Data_Input!T13&lt;=0,Data_Input!U13&lt;=0),"",Data_Input!T13/Data_Input!U13)</f>
        <v/>
      </c>
      <c r="J13" s="25" t="str">
        <f aca="false">IF(AND(H13="",I13=""),"",IF(H13="",I13,IF(I13="",H13,(H13+I13)/2)))</f>
        <v/>
      </c>
      <c r="K13" s="21" t="n">
        <f aca="false">IF(J13="",0,IFERROR((COUNT($J$5:$J$20)-RANK(J13,$J$5:$J$20,1))/(COUNT($J$5:$J$20)-1)*100,0))</f>
        <v>0</v>
      </c>
      <c r="L13" s="20" t="n">
        <f aca="false">(Data_Input!V13-1)/4*100</f>
        <v>-25</v>
      </c>
      <c r="M13" s="22" t="n">
        <f aca="false">(D13*Settings!$B$19+G13*Settings!$B$20+K13*Settings!$B$21+L13*Settings!$B$22)/100</f>
        <v>42.5</v>
      </c>
      <c r="N13" s="23" t="n">
        <f aca="false">RANK(M13,$M$5:$M$20)</f>
        <v>1</v>
      </c>
      <c r="O13" s="22" t="str">
        <f aca="false">IF(M13&gt;=Settings!$B$27,"STRONG",IF(M13&gt;=Settings!$B$28,"NEUTRAL","AVOID"))</f>
        <v>AVOID</v>
      </c>
    </row>
    <row r="14" customFormat="false" ht="15" hidden="false" customHeight="false" outlineLevel="0" collapsed="false">
      <c r="A14" s="19" t="str">
        <f aca="false">Data_Input!A14</f>
        <v>METAL</v>
      </c>
      <c r="B14" s="19" t="str">
        <f aca="false">Data_Input!B14</f>
        <v>Nifty Metal</v>
      </c>
      <c r="C14" s="20" t="n">
        <f aca="false">0.4*Data_Input!P14+0.6*Data_Input!Q14</f>
        <v>0</v>
      </c>
      <c r="D14" s="21" t="n">
        <f aca="false">IFERROR((COUNT($C$5:$C$20)-RANK(C14,$C$5:$C$20))/(COUNT($C$5:$C$20)-1)*100,0)</f>
        <v>100</v>
      </c>
      <c r="E14" s="20" t="n">
        <f aca="false">Data_Input!G14</f>
        <v>0</v>
      </c>
      <c r="F14" s="24" t="n">
        <f aca="false">IF(Data_Input!H14&gt;Data_Input!J14,1,0.5)</f>
        <v>0.5</v>
      </c>
      <c r="G14" s="21" t="n">
        <f aca="false">IFERROR((COUNT($E$5:$E$20)-RANK(E14,$E$5:$E$20))/(COUNT($E$5:$E$20)-1)*100*F14,0)</f>
        <v>50</v>
      </c>
      <c r="H14" s="24" t="str">
        <f aca="false">IF(OR(Data_Input!R14&lt;=0,Data_Input!S14&lt;=0),"",Data_Input!R14/Data_Input!S14)</f>
        <v/>
      </c>
      <c r="I14" s="24" t="str">
        <f aca="false">IF(OR(Data_Input!T14&lt;=0,Data_Input!U14&lt;=0),"",Data_Input!T14/Data_Input!U14)</f>
        <v/>
      </c>
      <c r="J14" s="25" t="str">
        <f aca="false">IF(AND(H14="",I14=""),"",IF(H14="",I14,IF(I14="",H14,(H14+I14)/2)))</f>
        <v/>
      </c>
      <c r="K14" s="21" t="n">
        <f aca="false">IF(J14="",0,IFERROR((COUNT($J$5:$J$20)-RANK(J14,$J$5:$J$20,1))/(COUNT($J$5:$J$20)-1)*100,0))</f>
        <v>0</v>
      </c>
      <c r="L14" s="20" t="n">
        <f aca="false">(Data_Input!V14-1)/4*100</f>
        <v>-25</v>
      </c>
      <c r="M14" s="22" t="n">
        <f aca="false">(D14*Settings!$B$19+G14*Settings!$B$20+K14*Settings!$B$21+L14*Settings!$B$22)/100</f>
        <v>42.5</v>
      </c>
      <c r="N14" s="23" t="n">
        <f aca="false">RANK(M14,$M$5:$M$20)</f>
        <v>1</v>
      </c>
      <c r="O14" s="22" t="str">
        <f aca="false">IF(M14&gt;=Settings!$B$27,"STRONG",IF(M14&gt;=Settings!$B$28,"NEUTRAL","AVOID"))</f>
        <v>AVOID</v>
      </c>
    </row>
    <row r="15" customFormat="false" ht="15" hidden="false" customHeight="false" outlineLevel="0" collapsed="false">
      <c r="A15" s="19" t="str">
        <f aca="false">Data_Input!A15</f>
        <v>REALTY</v>
      </c>
      <c r="B15" s="19" t="str">
        <f aca="false">Data_Input!B15</f>
        <v>Nifty Realty</v>
      </c>
      <c r="C15" s="20" t="n">
        <f aca="false">0.4*Data_Input!P15+0.6*Data_Input!Q15</f>
        <v>0</v>
      </c>
      <c r="D15" s="21" t="n">
        <f aca="false">IFERROR((COUNT($C$5:$C$20)-RANK(C15,$C$5:$C$20))/(COUNT($C$5:$C$20)-1)*100,0)</f>
        <v>100</v>
      </c>
      <c r="E15" s="20" t="n">
        <f aca="false">Data_Input!G15</f>
        <v>0</v>
      </c>
      <c r="F15" s="24" t="n">
        <f aca="false">IF(Data_Input!H15&gt;Data_Input!J15,1,0.5)</f>
        <v>0.5</v>
      </c>
      <c r="G15" s="21" t="n">
        <f aca="false">IFERROR((COUNT($E$5:$E$20)-RANK(E15,$E$5:$E$20))/(COUNT($E$5:$E$20)-1)*100*F15,0)</f>
        <v>50</v>
      </c>
      <c r="H15" s="24" t="str">
        <f aca="false">IF(OR(Data_Input!R15&lt;=0,Data_Input!S15&lt;=0),"",Data_Input!R15/Data_Input!S15)</f>
        <v/>
      </c>
      <c r="I15" s="24" t="str">
        <f aca="false">IF(OR(Data_Input!T15&lt;=0,Data_Input!U15&lt;=0),"",Data_Input!T15/Data_Input!U15)</f>
        <v/>
      </c>
      <c r="J15" s="25" t="str">
        <f aca="false">IF(AND(H15="",I15=""),"",IF(H15="",I15,IF(I15="",H15,(H15+I15)/2)))</f>
        <v/>
      </c>
      <c r="K15" s="21" t="n">
        <f aca="false">IF(J15="",0,IFERROR((COUNT($J$5:$J$20)-RANK(J15,$J$5:$J$20,1))/(COUNT($J$5:$J$20)-1)*100,0))</f>
        <v>0</v>
      </c>
      <c r="L15" s="20" t="n">
        <f aca="false">(Data_Input!V15-1)/4*100</f>
        <v>-25</v>
      </c>
      <c r="M15" s="22" t="n">
        <f aca="false">(D15*Settings!$B$19+G15*Settings!$B$20+K15*Settings!$B$21+L15*Settings!$B$22)/100</f>
        <v>42.5</v>
      </c>
      <c r="N15" s="23" t="n">
        <f aca="false">RANK(M15,$M$5:$M$20)</f>
        <v>1</v>
      </c>
      <c r="O15" s="22" t="str">
        <f aca="false">IF(M15&gt;=Settings!$B$27,"STRONG",IF(M15&gt;=Settings!$B$28,"NEUTRAL","AVOID"))</f>
        <v>AVOID</v>
      </c>
    </row>
    <row r="16" customFormat="false" ht="15" hidden="false" customHeight="false" outlineLevel="0" collapsed="false">
      <c r="A16" s="19" t="str">
        <f aca="false">Data_Input!A16</f>
        <v>ENERGY</v>
      </c>
      <c r="B16" s="19" t="str">
        <f aca="false">Data_Input!B16</f>
        <v>Nifty Energy</v>
      </c>
      <c r="C16" s="20" t="n">
        <f aca="false">0.4*Data_Input!P16+0.6*Data_Input!Q16</f>
        <v>0</v>
      </c>
      <c r="D16" s="21" t="n">
        <f aca="false">IFERROR((COUNT($C$5:$C$20)-RANK(C16,$C$5:$C$20))/(COUNT($C$5:$C$20)-1)*100,0)</f>
        <v>100</v>
      </c>
      <c r="E16" s="20" t="n">
        <f aca="false">Data_Input!G16</f>
        <v>0</v>
      </c>
      <c r="F16" s="24" t="n">
        <f aca="false">IF(Data_Input!H16&gt;Data_Input!J16,1,0.5)</f>
        <v>0.5</v>
      </c>
      <c r="G16" s="21" t="n">
        <f aca="false">IFERROR((COUNT($E$5:$E$20)-RANK(E16,$E$5:$E$20))/(COUNT($E$5:$E$20)-1)*100*F16,0)</f>
        <v>50</v>
      </c>
      <c r="H16" s="24" t="str">
        <f aca="false">IF(OR(Data_Input!R16&lt;=0,Data_Input!S16&lt;=0),"",Data_Input!R16/Data_Input!S16)</f>
        <v/>
      </c>
      <c r="I16" s="24" t="str">
        <f aca="false">IF(OR(Data_Input!T16&lt;=0,Data_Input!U16&lt;=0),"",Data_Input!T16/Data_Input!U16)</f>
        <v/>
      </c>
      <c r="J16" s="25" t="str">
        <f aca="false">IF(AND(H16="",I16=""),"",IF(H16="",I16,IF(I16="",H16,(H16+I16)/2)))</f>
        <v/>
      </c>
      <c r="K16" s="21" t="n">
        <f aca="false">IF(J16="",0,IFERROR((COUNT($J$5:$J$20)-RANK(J16,$J$5:$J$20,1))/(COUNT($J$5:$J$20)-1)*100,0))</f>
        <v>0</v>
      </c>
      <c r="L16" s="20" t="n">
        <f aca="false">(Data_Input!V16-1)/4*100</f>
        <v>-25</v>
      </c>
      <c r="M16" s="22" t="n">
        <f aca="false">(D16*Settings!$B$19+G16*Settings!$B$20+K16*Settings!$B$21+L16*Settings!$B$22)/100</f>
        <v>42.5</v>
      </c>
      <c r="N16" s="23" t="n">
        <f aca="false">RANK(M16,$M$5:$M$20)</f>
        <v>1</v>
      </c>
      <c r="O16" s="22" t="str">
        <f aca="false">IF(M16&gt;=Settings!$B$27,"STRONG",IF(M16&gt;=Settings!$B$28,"NEUTRAL","AVOID"))</f>
        <v>AVOID</v>
      </c>
    </row>
    <row r="17" customFormat="false" ht="15" hidden="false" customHeight="false" outlineLevel="0" collapsed="false">
      <c r="A17" s="19" t="str">
        <f aca="false">Data_Input!A17</f>
        <v>OILGAS</v>
      </c>
      <c r="B17" s="19" t="str">
        <f aca="false">Data_Input!B17</f>
        <v>Nifty Oil &amp; Gas</v>
      </c>
      <c r="C17" s="20" t="n">
        <f aca="false">0.4*Data_Input!P17+0.6*Data_Input!Q17</f>
        <v>0</v>
      </c>
      <c r="D17" s="21" t="n">
        <f aca="false">IFERROR((COUNT($C$5:$C$20)-RANK(C17,$C$5:$C$20))/(COUNT($C$5:$C$20)-1)*100,0)</f>
        <v>100</v>
      </c>
      <c r="E17" s="20" t="n">
        <f aca="false">Data_Input!G17</f>
        <v>0</v>
      </c>
      <c r="F17" s="24" t="n">
        <f aca="false">IF(Data_Input!H17&gt;Data_Input!J17,1,0.5)</f>
        <v>0.5</v>
      </c>
      <c r="G17" s="21" t="n">
        <f aca="false">IFERROR((COUNT($E$5:$E$20)-RANK(E17,$E$5:$E$20))/(COUNT($E$5:$E$20)-1)*100*F17,0)</f>
        <v>50</v>
      </c>
      <c r="H17" s="24" t="str">
        <f aca="false">IF(OR(Data_Input!R17&lt;=0,Data_Input!S17&lt;=0),"",Data_Input!R17/Data_Input!S17)</f>
        <v/>
      </c>
      <c r="I17" s="24" t="str">
        <f aca="false">IF(OR(Data_Input!T17&lt;=0,Data_Input!U17&lt;=0),"",Data_Input!T17/Data_Input!U17)</f>
        <v/>
      </c>
      <c r="J17" s="25" t="str">
        <f aca="false">IF(AND(H17="",I17=""),"",IF(H17="",I17,IF(I17="",H17,(H17+I17)/2)))</f>
        <v/>
      </c>
      <c r="K17" s="21" t="n">
        <f aca="false">IF(J17="",0,IFERROR((COUNT($J$5:$J$20)-RANK(J17,$J$5:$J$20,1))/(COUNT($J$5:$J$20)-1)*100,0))</f>
        <v>0</v>
      </c>
      <c r="L17" s="20" t="n">
        <f aca="false">(Data_Input!V17-1)/4*100</f>
        <v>-25</v>
      </c>
      <c r="M17" s="22" t="n">
        <f aca="false">(D17*Settings!$B$19+G17*Settings!$B$20+K17*Settings!$B$21+L17*Settings!$B$22)/100</f>
        <v>42.5</v>
      </c>
      <c r="N17" s="23" t="n">
        <f aca="false">RANK(M17,$M$5:$M$20)</f>
        <v>1</v>
      </c>
      <c r="O17" s="22" t="str">
        <f aca="false">IF(M17&gt;=Settings!$B$27,"STRONG",IF(M17&gt;=Settings!$B$28,"NEUTRAL","AVOID"))</f>
        <v>AVOID</v>
      </c>
    </row>
    <row r="18" customFormat="false" ht="15" hidden="false" customHeight="false" outlineLevel="0" collapsed="false">
      <c r="A18" s="19" t="str">
        <f aca="false">Data_Input!A18</f>
        <v>MEDIA</v>
      </c>
      <c r="B18" s="19" t="str">
        <f aca="false">Data_Input!B18</f>
        <v>Nifty Media</v>
      </c>
      <c r="C18" s="20" t="n">
        <f aca="false">0.4*Data_Input!P18+0.6*Data_Input!Q18</f>
        <v>0</v>
      </c>
      <c r="D18" s="21" t="n">
        <f aca="false">IFERROR((COUNT($C$5:$C$20)-RANK(C18,$C$5:$C$20))/(COUNT($C$5:$C$20)-1)*100,0)</f>
        <v>100</v>
      </c>
      <c r="E18" s="20" t="n">
        <f aca="false">Data_Input!G18</f>
        <v>0</v>
      </c>
      <c r="F18" s="24" t="n">
        <f aca="false">IF(Data_Input!H18&gt;Data_Input!J18,1,0.5)</f>
        <v>0.5</v>
      </c>
      <c r="G18" s="21" t="n">
        <f aca="false">IFERROR((COUNT($E$5:$E$20)-RANK(E18,$E$5:$E$20))/(COUNT($E$5:$E$20)-1)*100*F18,0)</f>
        <v>50</v>
      </c>
      <c r="H18" s="24" t="str">
        <f aca="false">IF(OR(Data_Input!R18&lt;=0,Data_Input!S18&lt;=0),"",Data_Input!R18/Data_Input!S18)</f>
        <v/>
      </c>
      <c r="I18" s="24" t="str">
        <f aca="false">IF(OR(Data_Input!T18&lt;=0,Data_Input!U18&lt;=0),"",Data_Input!T18/Data_Input!U18)</f>
        <v/>
      </c>
      <c r="J18" s="25" t="str">
        <f aca="false">IF(AND(H18="",I18=""),"",IF(H18="",I18,IF(I18="",H18,(H18+I18)/2)))</f>
        <v/>
      </c>
      <c r="K18" s="21" t="n">
        <f aca="false">IF(J18="",0,IFERROR((COUNT($J$5:$J$20)-RANK(J18,$J$5:$J$20,1))/(COUNT($J$5:$J$20)-1)*100,0))</f>
        <v>0</v>
      </c>
      <c r="L18" s="20" t="n">
        <f aca="false">(Data_Input!V18-1)/4*100</f>
        <v>-25</v>
      </c>
      <c r="M18" s="22" t="n">
        <f aca="false">(D18*Settings!$B$19+G18*Settings!$B$20+K18*Settings!$B$21+L18*Settings!$B$22)/100</f>
        <v>42.5</v>
      </c>
      <c r="N18" s="23" t="n">
        <f aca="false">RANK(M18,$M$5:$M$20)</f>
        <v>1</v>
      </c>
      <c r="O18" s="22" t="str">
        <f aca="false">IF(M18&gt;=Settings!$B$27,"STRONG",IF(M18&gt;=Settings!$B$28,"NEUTRAL","AVOID"))</f>
        <v>AVOID</v>
      </c>
    </row>
    <row r="19" customFormat="false" ht="15" hidden="false" customHeight="false" outlineLevel="0" collapsed="false">
      <c r="A19" s="19" t="str">
        <f aca="false">Data_Input!A19</f>
        <v>CONSDUR</v>
      </c>
      <c r="B19" s="19" t="str">
        <f aca="false">Data_Input!B19</f>
        <v>Nifty Consumer Durables</v>
      </c>
      <c r="C19" s="20" t="n">
        <f aca="false">0.4*Data_Input!P19+0.6*Data_Input!Q19</f>
        <v>0</v>
      </c>
      <c r="D19" s="21" t="n">
        <f aca="false">IFERROR((COUNT($C$5:$C$20)-RANK(C19,$C$5:$C$20))/(COUNT($C$5:$C$20)-1)*100,0)</f>
        <v>100</v>
      </c>
      <c r="E19" s="20" t="n">
        <f aca="false">Data_Input!G19</f>
        <v>0</v>
      </c>
      <c r="F19" s="24" t="n">
        <f aca="false">IF(Data_Input!H19&gt;Data_Input!J19,1,0.5)</f>
        <v>0.5</v>
      </c>
      <c r="G19" s="21" t="n">
        <f aca="false">IFERROR((COUNT($E$5:$E$20)-RANK(E19,$E$5:$E$20))/(COUNT($E$5:$E$20)-1)*100*F19,0)</f>
        <v>50</v>
      </c>
      <c r="H19" s="24" t="str">
        <f aca="false">IF(OR(Data_Input!R19&lt;=0,Data_Input!S19&lt;=0),"",Data_Input!R19/Data_Input!S19)</f>
        <v/>
      </c>
      <c r="I19" s="24" t="str">
        <f aca="false">IF(OR(Data_Input!T19&lt;=0,Data_Input!U19&lt;=0),"",Data_Input!T19/Data_Input!U19)</f>
        <v/>
      </c>
      <c r="J19" s="25" t="str">
        <f aca="false">IF(AND(H19="",I19=""),"",IF(H19="",I19,IF(I19="",H19,(H19+I19)/2)))</f>
        <v/>
      </c>
      <c r="K19" s="21" t="n">
        <f aca="false">IF(J19="",0,IFERROR((COUNT($J$5:$J$20)-RANK(J19,$J$5:$J$20,1))/(COUNT($J$5:$J$20)-1)*100,0))</f>
        <v>0</v>
      </c>
      <c r="L19" s="20" t="n">
        <f aca="false">(Data_Input!V19-1)/4*100</f>
        <v>-25</v>
      </c>
      <c r="M19" s="22" t="n">
        <f aca="false">(D19*Settings!$B$19+G19*Settings!$B$20+K19*Settings!$B$21+L19*Settings!$B$22)/100</f>
        <v>42.5</v>
      </c>
      <c r="N19" s="23" t="n">
        <f aca="false">RANK(M19,$M$5:$M$20)</f>
        <v>1</v>
      </c>
      <c r="O19" s="22" t="str">
        <f aca="false">IF(M19&gt;=Settings!$B$27,"STRONG",IF(M19&gt;=Settings!$B$28,"NEUTRAL","AVOID"))</f>
        <v>AVOID</v>
      </c>
    </row>
    <row r="20" customFormat="false" ht="15" hidden="false" customHeight="false" outlineLevel="0" collapsed="false">
      <c r="A20" s="19" t="str">
        <f aca="false">Data_Input!A20</f>
        <v>INFRA</v>
      </c>
      <c r="B20" s="19" t="str">
        <f aca="false">Data_Input!B20</f>
        <v>Nifty Infrastructure</v>
      </c>
      <c r="C20" s="20" t="n">
        <f aca="false">0.4*Data_Input!P20+0.6*Data_Input!Q20</f>
        <v>0</v>
      </c>
      <c r="D20" s="21" t="n">
        <f aca="false">IFERROR((COUNT($C$5:$C$20)-RANK(C20,$C$5:$C$20))/(COUNT($C$5:$C$20)-1)*100,0)</f>
        <v>100</v>
      </c>
      <c r="E20" s="20" t="n">
        <f aca="false">Data_Input!G20</f>
        <v>0</v>
      </c>
      <c r="F20" s="24" t="n">
        <f aca="false">IF(Data_Input!H20&gt;Data_Input!J20,1,0.5)</f>
        <v>0.5</v>
      </c>
      <c r="G20" s="21" t="n">
        <f aca="false">IFERROR((COUNT($E$5:$E$20)-RANK(E20,$E$5:$E$20))/(COUNT($E$5:$E$20)-1)*100*F20,0)</f>
        <v>50</v>
      </c>
      <c r="H20" s="24" t="str">
        <f aca="false">IF(OR(Data_Input!R20&lt;=0,Data_Input!S20&lt;=0),"",Data_Input!R20/Data_Input!S20)</f>
        <v/>
      </c>
      <c r="I20" s="24" t="str">
        <f aca="false">IF(OR(Data_Input!T20&lt;=0,Data_Input!U20&lt;=0),"",Data_Input!T20/Data_Input!U20)</f>
        <v/>
      </c>
      <c r="J20" s="25" t="str">
        <f aca="false">IF(AND(H20="",I20=""),"",IF(H20="",I20,IF(I20="",H20,(H20+I20)/2)))</f>
        <v/>
      </c>
      <c r="K20" s="21" t="n">
        <f aca="false">IF(J20="",0,IFERROR((COUNT($J$5:$J$20)-RANK(J20,$J$5:$J$20,1))/(COUNT($J$5:$J$20)-1)*100,0))</f>
        <v>0</v>
      </c>
      <c r="L20" s="20" t="n">
        <f aca="false">(Data_Input!V20-1)/4*100</f>
        <v>-25</v>
      </c>
      <c r="M20" s="22" t="n">
        <f aca="false">(D20*Settings!$B$19+G20*Settings!$B$20+K20*Settings!$B$21+L20*Settings!$B$22)/100</f>
        <v>42.5</v>
      </c>
      <c r="N20" s="23" t="n">
        <f aca="false">RANK(M20,$M$5:$M$20)</f>
        <v>1</v>
      </c>
      <c r="O20" s="22" t="str">
        <f aca="false">IF(M20&gt;=Settings!$B$27,"STRONG",IF(M20&gt;=Settings!$B$28,"NEUTRAL","AVOID"))</f>
        <v>AVOID</v>
      </c>
    </row>
    <row r="22" customFormat="false" ht="15" hidden="false" customHeight="false" outlineLevel="0" collapsed="false">
      <c r="A22" s="2" t="s">
        <v>199</v>
      </c>
    </row>
    <row r="23" customFormat="false" ht="15" hidden="false" customHeight="false" outlineLevel="0" collapsed="false">
      <c r="A23" s="2" t="s">
        <v>200</v>
      </c>
    </row>
    <row r="24" customFormat="false" ht="15" hidden="false" customHeight="false" outlineLevel="0" collapsed="false">
      <c r="A24" s="2" t="s">
        <v>201</v>
      </c>
    </row>
    <row r="25" customFormat="false" ht="15" hidden="false" customHeight="false" outlineLevel="0" collapsed="false">
      <c r="A25" s="2" t="s">
        <v>202</v>
      </c>
    </row>
    <row r="26" customFormat="false" ht="15" hidden="false" customHeight="false" outlineLevel="0" collapsed="false">
      <c r="A26" s="2" t="s">
        <v>203</v>
      </c>
    </row>
    <row r="27" customFormat="false" ht="15" hidden="false" customHeight="false" outlineLevel="0" collapsed="false">
      <c r="A27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44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31.5" hidden="false" customHeight="true" outlineLevel="0" collapsed="false">
      <c r="A4" s="12" t="s">
        <v>85</v>
      </c>
      <c r="B4" s="12" t="s">
        <v>86</v>
      </c>
      <c r="C4" s="12" t="s">
        <v>207</v>
      </c>
      <c r="D4" s="12" t="s">
        <v>208</v>
      </c>
      <c r="E4" s="12" t="s">
        <v>209</v>
      </c>
      <c r="F4" s="12" t="s">
        <v>210</v>
      </c>
      <c r="G4" s="12" t="s">
        <v>211</v>
      </c>
      <c r="H4" s="12" t="s">
        <v>212</v>
      </c>
      <c r="I4" s="12" t="s">
        <v>213</v>
      </c>
    </row>
    <row r="5" customFormat="false" ht="15" hidden="false" customHeight="false" outlineLevel="0" collapsed="false">
      <c r="A5" s="19" t="str">
        <f aca="false">Trading_Score!A5</f>
        <v>BANK</v>
      </c>
      <c r="B5" s="19" t="str">
        <f aca="false">Trading_Score!B5</f>
        <v>Nifty Bank</v>
      </c>
      <c r="C5" s="20" t="n">
        <f aca="false">Trading_Score!N5</f>
        <v>57.5</v>
      </c>
      <c r="D5" s="26" t="n">
        <f aca="false">Trading_Score!O5</f>
        <v>1</v>
      </c>
      <c r="E5" s="19" t="str">
        <f aca="false">Trading_Score!P5</f>
        <v>NEUTRAL</v>
      </c>
      <c r="F5" s="20" t="n">
        <f aca="false">Investing_Score!M5</f>
        <v>42.5</v>
      </c>
      <c r="G5" s="26" t="n">
        <f aca="false">Investing_Score!N5</f>
        <v>1</v>
      </c>
      <c r="H5" s="19" t="str">
        <f aca="false">Investing_Score!O5</f>
        <v>AVOID</v>
      </c>
      <c r="I5" s="27" t="str">
        <f aca="false">IF(AND(C5&gt;=Settings!$B$27,F5&gt;=Settings!$B$27),"Core - trade it and own it",IF(C5&gt;=Settings!$B$27,"Momentum only - trade, do not marry",IF(F5&gt;=Settings!$B$27,"Value setup - accumulate, wait for momentum","Ignore this cycle")))</f>
        <v>Ignore this cycle</v>
      </c>
    </row>
    <row r="6" customFormat="false" ht="15" hidden="false" customHeight="false" outlineLevel="0" collapsed="false">
      <c r="A6" s="19" t="str">
        <f aca="false">Trading_Score!A6</f>
        <v>FINSRV</v>
      </c>
      <c r="B6" s="19" t="str">
        <f aca="false">Trading_Score!B6</f>
        <v>Nifty Financial Services</v>
      </c>
      <c r="C6" s="20" t="n">
        <f aca="false">Trading_Score!N6</f>
        <v>57.5</v>
      </c>
      <c r="D6" s="26" t="n">
        <f aca="false">Trading_Score!O6</f>
        <v>1</v>
      </c>
      <c r="E6" s="19" t="str">
        <f aca="false">Trading_Score!P6</f>
        <v>NEUTRAL</v>
      </c>
      <c r="F6" s="20" t="n">
        <f aca="false">Investing_Score!M6</f>
        <v>42.5</v>
      </c>
      <c r="G6" s="26" t="n">
        <f aca="false">Investing_Score!N6</f>
        <v>1</v>
      </c>
      <c r="H6" s="19" t="str">
        <f aca="false">Investing_Score!O6</f>
        <v>AVOID</v>
      </c>
      <c r="I6" s="27" t="str">
        <f aca="false">IF(AND(C6&gt;=Settings!$B$27,F6&gt;=Settings!$B$27),"Core - trade it and own it",IF(C6&gt;=Settings!$B$27,"Momentum only - trade, do not marry",IF(F6&gt;=Settings!$B$27,"Value setup - accumulate, wait for momentum","Ignore this cycle")))</f>
        <v>Ignore this cycle</v>
      </c>
    </row>
    <row r="7" customFormat="false" ht="15" hidden="false" customHeight="false" outlineLevel="0" collapsed="false">
      <c r="A7" s="19" t="str">
        <f aca="false">Trading_Score!A7</f>
        <v>PVTBANK</v>
      </c>
      <c r="B7" s="19" t="str">
        <f aca="false">Trading_Score!B7</f>
        <v>Nifty Private Bank</v>
      </c>
      <c r="C7" s="20" t="n">
        <f aca="false">Trading_Score!N7</f>
        <v>57.5</v>
      </c>
      <c r="D7" s="26" t="n">
        <f aca="false">Trading_Score!O7</f>
        <v>1</v>
      </c>
      <c r="E7" s="19" t="str">
        <f aca="false">Trading_Score!P7</f>
        <v>NEUTRAL</v>
      </c>
      <c r="F7" s="20" t="n">
        <f aca="false">Investing_Score!M7</f>
        <v>42.5</v>
      </c>
      <c r="G7" s="26" t="n">
        <f aca="false">Investing_Score!N7</f>
        <v>1</v>
      </c>
      <c r="H7" s="19" t="str">
        <f aca="false">Investing_Score!O7</f>
        <v>AVOID</v>
      </c>
      <c r="I7" s="27" t="str">
        <f aca="false">IF(AND(C7&gt;=Settings!$B$27,F7&gt;=Settings!$B$27),"Core - trade it and own it",IF(C7&gt;=Settings!$B$27,"Momentum only - trade, do not marry",IF(F7&gt;=Settings!$B$27,"Value setup - accumulate, wait for momentum","Ignore this cycle")))</f>
        <v>Ignore this cycle</v>
      </c>
    </row>
    <row r="8" customFormat="false" ht="15" hidden="false" customHeight="false" outlineLevel="0" collapsed="false">
      <c r="A8" s="19" t="str">
        <f aca="false">Trading_Score!A8</f>
        <v>PSUBANK</v>
      </c>
      <c r="B8" s="19" t="str">
        <f aca="false">Trading_Score!B8</f>
        <v>Nifty PSU Bank</v>
      </c>
      <c r="C8" s="20" t="n">
        <f aca="false">Trading_Score!N8</f>
        <v>57.5</v>
      </c>
      <c r="D8" s="26" t="n">
        <f aca="false">Trading_Score!O8</f>
        <v>1</v>
      </c>
      <c r="E8" s="19" t="str">
        <f aca="false">Trading_Score!P8</f>
        <v>NEUTRAL</v>
      </c>
      <c r="F8" s="20" t="n">
        <f aca="false">Investing_Score!M8</f>
        <v>42.5</v>
      </c>
      <c r="G8" s="26" t="n">
        <f aca="false">Investing_Score!N8</f>
        <v>1</v>
      </c>
      <c r="H8" s="19" t="str">
        <f aca="false">Investing_Score!O8</f>
        <v>AVOID</v>
      </c>
      <c r="I8" s="27" t="str">
        <f aca="false">IF(AND(C8&gt;=Settings!$B$27,F8&gt;=Settings!$B$27),"Core - trade it and own it",IF(C8&gt;=Settings!$B$27,"Momentum only - trade, do not marry",IF(F8&gt;=Settings!$B$27,"Value setup - accumulate, wait for momentum","Ignore this cycle")))</f>
        <v>Ignore this cycle</v>
      </c>
    </row>
    <row r="9" customFormat="false" ht="15" hidden="false" customHeight="false" outlineLevel="0" collapsed="false">
      <c r="A9" s="19" t="str">
        <f aca="false">Trading_Score!A9</f>
        <v>IT</v>
      </c>
      <c r="B9" s="19" t="str">
        <f aca="false">Trading_Score!B9</f>
        <v>Nifty IT</v>
      </c>
      <c r="C9" s="20" t="n">
        <f aca="false">Trading_Score!N9</f>
        <v>57.5</v>
      </c>
      <c r="D9" s="26" t="n">
        <f aca="false">Trading_Score!O9</f>
        <v>1</v>
      </c>
      <c r="E9" s="19" t="str">
        <f aca="false">Trading_Score!P9</f>
        <v>NEUTRAL</v>
      </c>
      <c r="F9" s="20" t="n">
        <f aca="false">Investing_Score!M9</f>
        <v>42.5</v>
      </c>
      <c r="G9" s="26" t="n">
        <f aca="false">Investing_Score!N9</f>
        <v>1</v>
      </c>
      <c r="H9" s="19" t="str">
        <f aca="false">Investing_Score!O9</f>
        <v>AVOID</v>
      </c>
      <c r="I9" s="27" t="str">
        <f aca="false">IF(AND(C9&gt;=Settings!$B$27,F9&gt;=Settings!$B$27),"Core - trade it and own it",IF(C9&gt;=Settings!$B$27,"Momentum only - trade, do not marry",IF(F9&gt;=Settings!$B$27,"Value setup - accumulate, wait for momentum","Ignore this cycle")))</f>
        <v>Ignore this cycle</v>
      </c>
    </row>
    <row r="10" customFormat="false" ht="15" hidden="false" customHeight="false" outlineLevel="0" collapsed="false">
      <c r="A10" s="19" t="str">
        <f aca="false">Trading_Score!A10</f>
        <v>AUTO</v>
      </c>
      <c r="B10" s="19" t="str">
        <f aca="false">Trading_Score!B10</f>
        <v>Nifty Auto</v>
      </c>
      <c r="C10" s="20" t="n">
        <f aca="false">Trading_Score!N10</f>
        <v>57.5</v>
      </c>
      <c r="D10" s="26" t="n">
        <f aca="false">Trading_Score!O10</f>
        <v>1</v>
      </c>
      <c r="E10" s="19" t="str">
        <f aca="false">Trading_Score!P10</f>
        <v>NEUTRAL</v>
      </c>
      <c r="F10" s="20" t="n">
        <f aca="false">Investing_Score!M10</f>
        <v>42.5</v>
      </c>
      <c r="G10" s="26" t="n">
        <f aca="false">Investing_Score!N10</f>
        <v>1</v>
      </c>
      <c r="H10" s="19" t="str">
        <f aca="false">Investing_Score!O10</f>
        <v>AVOID</v>
      </c>
      <c r="I10" s="27" t="str">
        <f aca="false">IF(AND(C10&gt;=Settings!$B$27,F10&gt;=Settings!$B$27),"Core - trade it and own it",IF(C10&gt;=Settings!$B$27,"Momentum only - trade, do not marry",IF(F10&gt;=Settings!$B$27,"Value setup - accumulate, wait for momentum","Ignore this cycle")))</f>
        <v>Ignore this cycle</v>
      </c>
    </row>
    <row r="11" customFormat="false" ht="15" hidden="false" customHeight="false" outlineLevel="0" collapsed="false">
      <c r="A11" s="19" t="str">
        <f aca="false">Trading_Score!A11</f>
        <v>PHARMA</v>
      </c>
      <c r="B11" s="19" t="str">
        <f aca="false">Trading_Score!B11</f>
        <v>Nifty Pharma</v>
      </c>
      <c r="C11" s="20" t="n">
        <f aca="false">Trading_Score!N11</f>
        <v>57.5</v>
      </c>
      <c r="D11" s="26" t="n">
        <f aca="false">Trading_Score!O11</f>
        <v>1</v>
      </c>
      <c r="E11" s="19" t="str">
        <f aca="false">Trading_Score!P11</f>
        <v>NEUTRAL</v>
      </c>
      <c r="F11" s="20" t="n">
        <f aca="false">Investing_Score!M11</f>
        <v>42.5</v>
      </c>
      <c r="G11" s="26" t="n">
        <f aca="false">Investing_Score!N11</f>
        <v>1</v>
      </c>
      <c r="H11" s="19" t="str">
        <f aca="false">Investing_Score!O11</f>
        <v>AVOID</v>
      </c>
      <c r="I11" s="27" t="str">
        <f aca="false">IF(AND(C11&gt;=Settings!$B$27,F11&gt;=Settings!$B$27),"Core - trade it and own it",IF(C11&gt;=Settings!$B$27,"Momentum only - trade, do not marry",IF(F11&gt;=Settings!$B$27,"Value setup - accumulate, wait for momentum","Ignore this cycle")))</f>
        <v>Ignore this cycle</v>
      </c>
    </row>
    <row r="12" customFormat="false" ht="15" hidden="false" customHeight="false" outlineLevel="0" collapsed="false">
      <c r="A12" s="19" t="str">
        <f aca="false">Trading_Score!A12</f>
        <v>HEALTH</v>
      </c>
      <c r="B12" s="19" t="str">
        <f aca="false">Trading_Score!B12</f>
        <v>Nifty Healthcare</v>
      </c>
      <c r="C12" s="20" t="n">
        <f aca="false">Trading_Score!N12</f>
        <v>57.5</v>
      </c>
      <c r="D12" s="26" t="n">
        <f aca="false">Trading_Score!O12</f>
        <v>1</v>
      </c>
      <c r="E12" s="19" t="str">
        <f aca="false">Trading_Score!P12</f>
        <v>NEUTRAL</v>
      </c>
      <c r="F12" s="20" t="n">
        <f aca="false">Investing_Score!M12</f>
        <v>42.5</v>
      </c>
      <c r="G12" s="26" t="n">
        <f aca="false">Investing_Score!N12</f>
        <v>1</v>
      </c>
      <c r="H12" s="19" t="str">
        <f aca="false">Investing_Score!O12</f>
        <v>AVOID</v>
      </c>
      <c r="I12" s="27" t="str">
        <f aca="false">IF(AND(C12&gt;=Settings!$B$27,F12&gt;=Settings!$B$27),"Core - trade it and own it",IF(C12&gt;=Settings!$B$27,"Momentum only - trade, do not marry",IF(F12&gt;=Settings!$B$27,"Value setup - accumulate, wait for momentum","Ignore this cycle")))</f>
        <v>Ignore this cycle</v>
      </c>
    </row>
    <row r="13" customFormat="false" ht="15" hidden="false" customHeight="false" outlineLevel="0" collapsed="false">
      <c r="A13" s="19" t="str">
        <f aca="false">Trading_Score!A13</f>
        <v>FMCG</v>
      </c>
      <c r="B13" s="19" t="str">
        <f aca="false">Trading_Score!B13</f>
        <v>Nifty FMCG</v>
      </c>
      <c r="C13" s="20" t="n">
        <f aca="false">Trading_Score!N13</f>
        <v>57.5</v>
      </c>
      <c r="D13" s="26" t="n">
        <f aca="false">Trading_Score!O13</f>
        <v>1</v>
      </c>
      <c r="E13" s="19" t="str">
        <f aca="false">Trading_Score!P13</f>
        <v>NEUTRAL</v>
      </c>
      <c r="F13" s="20" t="n">
        <f aca="false">Investing_Score!M13</f>
        <v>42.5</v>
      </c>
      <c r="G13" s="26" t="n">
        <f aca="false">Investing_Score!N13</f>
        <v>1</v>
      </c>
      <c r="H13" s="19" t="str">
        <f aca="false">Investing_Score!O13</f>
        <v>AVOID</v>
      </c>
      <c r="I13" s="27" t="str">
        <f aca="false">IF(AND(C13&gt;=Settings!$B$27,F13&gt;=Settings!$B$27),"Core - trade it and own it",IF(C13&gt;=Settings!$B$27,"Momentum only - trade, do not marry",IF(F13&gt;=Settings!$B$27,"Value setup - accumulate, wait for momentum","Ignore this cycle")))</f>
        <v>Ignore this cycle</v>
      </c>
    </row>
    <row r="14" customFormat="false" ht="15" hidden="false" customHeight="false" outlineLevel="0" collapsed="false">
      <c r="A14" s="19" t="str">
        <f aca="false">Trading_Score!A14</f>
        <v>METAL</v>
      </c>
      <c r="B14" s="19" t="str">
        <f aca="false">Trading_Score!B14</f>
        <v>Nifty Metal</v>
      </c>
      <c r="C14" s="20" t="n">
        <f aca="false">Trading_Score!N14</f>
        <v>57.5</v>
      </c>
      <c r="D14" s="26" t="n">
        <f aca="false">Trading_Score!O14</f>
        <v>1</v>
      </c>
      <c r="E14" s="19" t="str">
        <f aca="false">Trading_Score!P14</f>
        <v>NEUTRAL</v>
      </c>
      <c r="F14" s="20" t="n">
        <f aca="false">Investing_Score!M14</f>
        <v>42.5</v>
      </c>
      <c r="G14" s="26" t="n">
        <f aca="false">Investing_Score!N14</f>
        <v>1</v>
      </c>
      <c r="H14" s="19" t="str">
        <f aca="false">Investing_Score!O14</f>
        <v>AVOID</v>
      </c>
      <c r="I14" s="27" t="str">
        <f aca="false">IF(AND(C14&gt;=Settings!$B$27,F14&gt;=Settings!$B$27),"Core - trade it and own it",IF(C14&gt;=Settings!$B$27,"Momentum only - trade, do not marry",IF(F14&gt;=Settings!$B$27,"Value setup - accumulate, wait for momentum","Ignore this cycle")))</f>
        <v>Ignore this cycle</v>
      </c>
    </row>
    <row r="15" customFormat="false" ht="15" hidden="false" customHeight="false" outlineLevel="0" collapsed="false">
      <c r="A15" s="19" t="str">
        <f aca="false">Trading_Score!A15</f>
        <v>REALTY</v>
      </c>
      <c r="B15" s="19" t="str">
        <f aca="false">Trading_Score!B15</f>
        <v>Nifty Realty</v>
      </c>
      <c r="C15" s="20" t="n">
        <f aca="false">Trading_Score!N15</f>
        <v>57.5</v>
      </c>
      <c r="D15" s="26" t="n">
        <f aca="false">Trading_Score!O15</f>
        <v>1</v>
      </c>
      <c r="E15" s="19" t="str">
        <f aca="false">Trading_Score!P15</f>
        <v>NEUTRAL</v>
      </c>
      <c r="F15" s="20" t="n">
        <f aca="false">Investing_Score!M15</f>
        <v>42.5</v>
      </c>
      <c r="G15" s="26" t="n">
        <f aca="false">Investing_Score!N15</f>
        <v>1</v>
      </c>
      <c r="H15" s="19" t="str">
        <f aca="false">Investing_Score!O15</f>
        <v>AVOID</v>
      </c>
      <c r="I15" s="27" t="str">
        <f aca="false">IF(AND(C15&gt;=Settings!$B$27,F15&gt;=Settings!$B$27),"Core - trade it and own it",IF(C15&gt;=Settings!$B$27,"Momentum only - trade, do not marry",IF(F15&gt;=Settings!$B$27,"Value setup - accumulate, wait for momentum","Ignore this cycle")))</f>
        <v>Ignore this cycle</v>
      </c>
    </row>
    <row r="16" customFormat="false" ht="15" hidden="false" customHeight="false" outlineLevel="0" collapsed="false">
      <c r="A16" s="19" t="str">
        <f aca="false">Trading_Score!A16</f>
        <v>ENERGY</v>
      </c>
      <c r="B16" s="19" t="str">
        <f aca="false">Trading_Score!B16</f>
        <v>Nifty Energy</v>
      </c>
      <c r="C16" s="20" t="n">
        <f aca="false">Trading_Score!N16</f>
        <v>57.5</v>
      </c>
      <c r="D16" s="26" t="n">
        <f aca="false">Trading_Score!O16</f>
        <v>1</v>
      </c>
      <c r="E16" s="19" t="str">
        <f aca="false">Trading_Score!P16</f>
        <v>NEUTRAL</v>
      </c>
      <c r="F16" s="20" t="n">
        <f aca="false">Investing_Score!M16</f>
        <v>42.5</v>
      </c>
      <c r="G16" s="26" t="n">
        <f aca="false">Investing_Score!N16</f>
        <v>1</v>
      </c>
      <c r="H16" s="19" t="str">
        <f aca="false">Investing_Score!O16</f>
        <v>AVOID</v>
      </c>
      <c r="I16" s="27" t="str">
        <f aca="false">IF(AND(C16&gt;=Settings!$B$27,F16&gt;=Settings!$B$27),"Core - trade it and own it",IF(C16&gt;=Settings!$B$27,"Momentum only - trade, do not marry",IF(F16&gt;=Settings!$B$27,"Value setup - accumulate, wait for momentum","Ignore this cycle")))</f>
        <v>Ignore this cycle</v>
      </c>
    </row>
    <row r="17" customFormat="false" ht="15" hidden="false" customHeight="false" outlineLevel="0" collapsed="false">
      <c r="A17" s="19" t="str">
        <f aca="false">Trading_Score!A17</f>
        <v>OILGAS</v>
      </c>
      <c r="B17" s="19" t="str">
        <f aca="false">Trading_Score!B17</f>
        <v>Nifty Oil &amp; Gas</v>
      </c>
      <c r="C17" s="20" t="n">
        <f aca="false">Trading_Score!N17</f>
        <v>57.5</v>
      </c>
      <c r="D17" s="26" t="n">
        <f aca="false">Trading_Score!O17</f>
        <v>1</v>
      </c>
      <c r="E17" s="19" t="str">
        <f aca="false">Trading_Score!P17</f>
        <v>NEUTRAL</v>
      </c>
      <c r="F17" s="20" t="n">
        <f aca="false">Investing_Score!M17</f>
        <v>42.5</v>
      </c>
      <c r="G17" s="26" t="n">
        <f aca="false">Investing_Score!N17</f>
        <v>1</v>
      </c>
      <c r="H17" s="19" t="str">
        <f aca="false">Investing_Score!O17</f>
        <v>AVOID</v>
      </c>
      <c r="I17" s="27" t="str">
        <f aca="false">IF(AND(C17&gt;=Settings!$B$27,F17&gt;=Settings!$B$27),"Core - trade it and own it",IF(C17&gt;=Settings!$B$27,"Momentum only - trade, do not marry",IF(F17&gt;=Settings!$B$27,"Value setup - accumulate, wait for momentum","Ignore this cycle")))</f>
        <v>Ignore this cycle</v>
      </c>
    </row>
    <row r="18" customFormat="false" ht="15" hidden="false" customHeight="false" outlineLevel="0" collapsed="false">
      <c r="A18" s="19" t="str">
        <f aca="false">Trading_Score!A18</f>
        <v>MEDIA</v>
      </c>
      <c r="B18" s="19" t="str">
        <f aca="false">Trading_Score!B18</f>
        <v>Nifty Media</v>
      </c>
      <c r="C18" s="20" t="n">
        <f aca="false">Trading_Score!N18</f>
        <v>57.5</v>
      </c>
      <c r="D18" s="26" t="n">
        <f aca="false">Trading_Score!O18</f>
        <v>1</v>
      </c>
      <c r="E18" s="19" t="str">
        <f aca="false">Trading_Score!P18</f>
        <v>NEUTRAL</v>
      </c>
      <c r="F18" s="20" t="n">
        <f aca="false">Investing_Score!M18</f>
        <v>42.5</v>
      </c>
      <c r="G18" s="26" t="n">
        <f aca="false">Investing_Score!N18</f>
        <v>1</v>
      </c>
      <c r="H18" s="19" t="str">
        <f aca="false">Investing_Score!O18</f>
        <v>AVOID</v>
      </c>
      <c r="I18" s="27" t="str">
        <f aca="false">IF(AND(C18&gt;=Settings!$B$27,F18&gt;=Settings!$B$27),"Core - trade it and own it",IF(C18&gt;=Settings!$B$27,"Momentum only - trade, do not marry",IF(F18&gt;=Settings!$B$27,"Value setup - accumulate, wait for momentum","Ignore this cycle")))</f>
        <v>Ignore this cycle</v>
      </c>
    </row>
    <row r="19" customFormat="false" ht="15" hidden="false" customHeight="false" outlineLevel="0" collapsed="false">
      <c r="A19" s="19" t="str">
        <f aca="false">Trading_Score!A19</f>
        <v>CONSDUR</v>
      </c>
      <c r="B19" s="19" t="str">
        <f aca="false">Trading_Score!B19</f>
        <v>Nifty Consumer Durables</v>
      </c>
      <c r="C19" s="20" t="n">
        <f aca="false">Trading_Score!N19</f>
        <v>57.5</v>
      </c>
      <c r="D19" s="26" t="n">
        <f aca="false">Trading_Score!O19</f>
        <v>1</v>
      </c>
      <c r="E19" s="19" t="str">
        <f aca="false">Trading_Score!P19</f>
        <v>NEUTRAL</v>
      </c>
      <c r="F19" s="20" t="n">
        <f aca="false">Investing_Score!M19</f>
        <v>42.5</v>
      </c>
      <c r="G19" s="26" t="n">
        <f aca="false">Investing_Score!N19</f>
        <v>1</v>
      </c>
      <c r="H19" s="19" t="str">
        <f aca="false">Investing_Score!O19</f>
        <v>AVOID</v>
      </c>
      <c r="I19" s="27" t="str">
        <f aca="false">IF(AND(C19&gt;=Settings!$B$27,F19&gt;=Settings!$B$27),"Core - trade it and own it",IF(C19&gt;=Settings!$B$27,"Momentum only - trade, do not marry",IF(F19&gt;=Settings!$B$27,"Value setup - accumulate, wait for momentum","Ignore this cycle")))</f>
        <v>Ignore this cycle</v>
      </c>
    </row>
    <row r="20" customFormat="false" ht="15" hidden="false" customHeight="false" outlineLevel="0" collapsed="false">
      <c r="A20" s="19" t="str">
        <f aca="false">Trading_Score!A20</f>
        <v>INFRA</v>
      </c>
      <c r="B20" s="19" t="str">
        <f aca="false">Trading_Score!B20</f>
        <v>Nifty Infrastructure</v>
      </c>
      <c r="C20" s="20" t="n">
        <f aca="false">Trading_Score!N20</f>
        <v>57.5</v>
      </c>
      <c r="D20" s="26" t="n">
        <f aca="false">Trading_Score!O20</f>
        <v>1</v>
      </c>
      <c r="E20" s="19" t="str">
        <f aca="false">Trading_Score!P20</f>
        <v>NEUTRAL</v>
      </c>
      <c r="F20" s="20" t="n">
        <f aca="false">Investing_Score!M20</f>
        <v>42.5</v>
      </c>
      <c r="G20" s="26" t="n">
        <f aca="false">Investing_Score!N20</f>
        <v>1</v>
      </c>
      <c r="H20" s="19" t="str">
        <f aca="false">Investing_Score!O20</f>
        <v>AVOID</v>
      </c>
      <c r="I20" s="27" t="str">
        <f aca="false">IF(AND(C20&gt;=Settings!$B$27,F20&gt;=Settings!$B$27),"Core - trade it and own it",IF(C20&gt;=Settings!$B$27,"Momentum only - trade, do not marry",IF(F20&gt;=Settings!$B$27,"Value setup - accumulate, wait for momentum","Ignore this cycle")))</f>
        <v>Ignore this cycle</v>
      </c>
    </row>
    <row r="22" customFormat="false" ht="15" hidden="false" customHeight="false" outlineLevel="0" collapsed="false">
      <c r="A22" s="2" t="s">
        <v>214</v>
      </c>
    </row>
    <row r="23" customFormat="false" ht="15" hidden="false" customHeight="false" outlineLevel="0" collapsed="false">
      <c r="A23" s="2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6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216</v>
      </c>
    </row>
    <row r="2" customFormat="false" ht="15" hidden="false" customHeight="false" outlineLevel="0" collapsed="false">
      <c r="A2" s="2" t="s">
        <v>217</v>
      </c>
    </row>
    <row r="4" customFormat="false" ht="31.5" hidden="false" customHeight="true" outlineLevel="0" collapsed="false">
      <c r="A4" s="12" t="s">
        <v>218</v>
      </c>
      <c r="B4" s="12" t="s">
        <v>219</v>
      </c>
      <c r="C4" s="12" t="s">
        <v>220</v>
      </c>
      <c r="D4" s="12" t="s">
        <v>221</v>
      </c>
      <c r="E4" s="12" t="s">
        <v>222</v>
      </c>
    </row>
    <row r="5" customFormat="false" ht="30" hidden="false" customHeight="true" outlineLevel="0" collapsed="false">
      <c r="A5" s="27" t="s">
        <v>49</v>
      </c>
      <c r="B5" s="28" t="s">
        <v>223</v>
      </c>
      <c r="C5" s="28" t="s">
        <v>224</v>
      </c>
      <c r="D5" s="29" t="s">
        <v>225</v>
      </c>
      <c r="E5" s="29" t="s">
        <v>226</v>
      </c>
    </row>
    <row r="6" customFormat="false" ht="30" hidden="false" customHeight="true" outlineLevel="0" collapsed="false">
      <c r="A6" s="27" t="s">
        <v>51</v>
      </c>
      <c r="B6" s="28" t="s">
        <v>227</v>
      </c>
      <c r="C6" s="28" t="s">
        <v>224</v>
      </c>
      <c r="D6" s="29" t="s">
        <v>228</v>
      </c>
      <c r="E6" s="29" t="s">
        <v>229</v>
      </c>
    </row>
    <row r="7" customFormat="false" ht="30" hidden="false" customHeight="true" outlineLevel="0" collapsed="false">
      <c r="A7" s="27" t="s">
        <v>53</v>
      </c>
      <c r="B7" s="28" t="s">
        <v>223</v>
      </c>
      <c r="C7" s="28" t="s">
        <v>230</v>
      </c>
      <c r="D7" s="29" t="s">
        <v>231</v>
      </c>
      <c r="E7" s="29" t="s">
        <v>232</v>
      </c>
    </row>
    <row r="8" customFormat="false" ht="30" hidden="false" customHeight="true" outlineLevel="0" collapsed="false">
      <c r="A8" s="27" t="s">
        <v>55</v>
      </c>
      <c r="B8" s="28" t="s">
        <v>223</v>
      </c>
      <c r="C8" s="28" t="s">
        <v>224</v>
      </c>
      <c r="D8" s="29" t="s">
        <v>233</v>
      </c>
      <c r="E8" s="29" t="s">
        <v>234</v>
      </c>
    </row>
    <row r="9" customFormat="false" ht="30" hidden="false" customHeight="true" outlineLevel="0" collapsed="false">
      <c r="A9" s="27" t="s">
        <v>235</v>
      </c>
      <c r="B9" s="28" t="s">
        <v>223</v>
      </c>
      <c r="C9" s="28" t="s">
        <v>224</v>
      </c>
      <c r="D9" s="29" t="s">
        <v>236</v>
      </c>
      <c r="E9" s="29" t="s">
        <v>237</v>
      </c>
    </row>
    <row r="10" customFormat="false" ht="30" hidden="false" customHeight="true" outlineLevel="0" collapsed="false">
      <c r="A10" s="27" t="s">
        <v>61</v>
      </c>
      <c r="B10" s="28" t="s">
        <v>238</v>
      </c>
      <c r="C10" s="28" t="s">
        <v>224</v>
      </c>
      <c r="D10" s="29" t="s">
        <v>239</v>
      </c>
      <c r="E10" s="29" t="s">
        <v>240</v>
      </c>
    </row>
    <row r="11" customFormat="false" ht="30" hidden="false" customHeight="true" outlineLevel="0" collapsed="false">
      <c r="A11" s="27" t="s">
        <v>63</v>
      </c>
      <c r="B11" s="28" t="s">
        <v>238</v>
      </c>
      <c r="C11" s="28" t="s">
        <v>224</v>
      </c>
      <c r="D11" s="29" t="s">
        <v>241</v>
      </c>
      <c r="E11" s="29" t="s">
        <v>242</v>
      </c>
    </row>
    <row r="12" customFormat="false" ht="30" hidden="false" customHeight="true" outlineLevel="0" collapsed="false">
      <c r="A12" s="27" t="s">
        <v>65</v>
      </c>
      <c r="B12" s="28" t="s">
        <v>238</v>
      </c>
      <c r="C12" s="28" t="s">
        <v>224</v>
      </c>
      <c r="D12" s="29" t="s">
        <v>243</v>
      </c>
      <c r="E12" s="29" t="s">
        <v>244</v>
      </c>
    </row>
    <row r="13" customFormat="false" ht="30" hidden="false" customHeight="true" outlineLevel="0" collapsed="false">
      <c r="A13" s="27" t="s">
        <v>67</v>
      </c>
      <c r="B13" s="28" t="s">
        <v>238</v>
      </c>
      <c r="C13" s="28" t="s">
        <v>224</v>
      </c>
      <c r="D13" s="29" t="s">
        <v>245</v>
      </c>
      <c r="E13" s="29" t="s">
        <v>237</v>
      </c>
    </row>
    <row r="14" customFormat="false" ht="30" hidden="false" customHeight="true" outlineLevel="0" collapsed="false">
      <c r="A14" s="27" t="s">
        <v>69</v>
      </c>
      <c r="B14" s="28" t="s">
        <v>238</v>
      </c>
      <c r="C14" s="30" t="s">
        <v>246</v>
      </c>
      <c r="D14" s="29" t="s">
        <v>247</v>
      </c>
      <c r="E14" s="29" t="s">
        <v>248</v>
      </c>
    </row>
    <row r="16" customFormat="false" ht="15" hidden="false" customHeight="false" outlineLevel="0" collapsed="false">
      <c r="A16" s="2" t="s">
        <v>249</v>
      </c>
    </row>
    <row r="17" customFormat="false" ht="15" hidden="false" customHeight="false" outlineLevel="0" collapsed="false">
      <c r="A17" s="2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251</v>
      </c>
    </row>
    <row r="2" customFormat="false" ht="15" hidden="false" customHeight="false" outlineLevel="0" collapsed="false">
      <c r="A2" s="2" t="s">
        <v>252</v>
      </c>
    </row>
    <row r="4" customFormat="false" ht="31.5" hidden="false" customHeight="true" outlineLevel="0" collapsed="false">
      <c r="A4" s="12" t="s">
        <v>253</v>
      </c>
      <c r="B4" s="12" t="s">
        <v>254</v>
      </c>
      <c r="C4" s="12" t="s">
        <v>255</v>
      </c>
      <c r="D4" s="12" t="s">
        <v>256</v>
      </c>
    </row>
    <row r="5" customFormat="false" ht="27.75" hidden="false" customHeight="true" outlineLevel="0" collapsed="false">
      <c r="A5" s="27" t="s">
        <v>257</v>
      </c>
      <c r="B5" s="29" t="s">
        <v>258</v>
      </c>
      <c r="C5" s="29" t="s">
        <v>259</v>
      </c>
      <c r="D5" s="29" t="s">
        <v>260</v>
      </c>
    </row>
    <row r="6" customFormat="false" ht="27.75" hidden="false" customHeight="true" outlineLevel="0" collapsed="false">
      <c r="A6" s="27" t="s">
        <v>257</v>
      </c>
      <c r="B6" s="29" t="s">
        <v>261</v>
      </c>
      <c r="C6" s="29" t="s">
        <v>262</v>
      </c>
      <c r="D6" s="29" t="s">
        <v>263</v>
      </c>
    </row>
    <row r="7" customFormat="false" ht="27.75" hidden="false" customHeight="true" outlineLevel="0" collapsed="false">
      <c r="A7" s="27" t="s">
        <v>264</v>
      </c>
      <c r="B7" s="29" t="s">
        <v>258</v>
      </c>
      <c r="C7" s="29" t="s">
        <v>265</v>
      </c>
      <c r="D7" s="29" t="s">
        <v>266</v>
      </c>
    </row>
    <row r="8" customFormat="false" ht="27.75" hidden="false" customHeight="true" outlineLevel="0" collapsed="false">
      <c r="A8" s="27" t="s">
        <v>264</v>
      </c>
      <c r="B8" s="29" t="s">
        <v>261</v>
      </c>
      <c r="C8" s="29" t="s">
        <v>266</v>
      </c>
      <c r="D8" s="29" t="s">
        <v>267</v>
      </c>
    </row>
    <row r="9" customFormat="false" ht="27.75" hidden="false" customHeight="true" outlineLevel="0" collapsed="false">
      <c r="A9" s="27" t="s">
        <v>268</v>
      </c>
      <c r="B9" s="29" t="s">
        <v>269</v>
      </c>
      <c r="C9" s="29" t="s">
        <v>270</v>
      </c>
      <c r="D9" s="29" t="s">
        <v>271</v>
      </c>
    </row>
    <row r="10" customFormat="false" ht="27.75" hidden="false" customHeight="true" outlineLevel="0" collapsed="false">
      <c r="A10" s="27" t="s">
        <v>272</v>
      </c>
      <c r="B10" s="29" t="s">
        <v>273</v>
      </c>
      <c r="C10" s="29" t="s">
        <v>274</v>
      </c>
      <c r="D10" s="29" t="s">
        <v>275</v>
      </c>
    </row>
    <row r="11" customFormat="false" ht="27.75" hidden="false" customHeight="true" outlineLevel="0" collapsed="false">
      <c r="A11" s="27" t="s">
        <v>276</v>
      </c>
      <c r="B11" s="29" t="s">
        <v>277</v>
      </c>
      <c r="C11" s="29" t="s">
        <v>278</v>
      </c>
      <c r="D11" s="29" t="s">
        <v>275</v>
      </c>
    </row>
    <row r="12" customFormat="false" ht="27.75" hidden="false" customHeight="true" outlineLevel="0" collapsed="false">
      <c r="A12" s="27" t="s">
        <v>279</v>
      </c>
      <c r="B12" s="29" t="s">
        <v>280</v>
      </c>
      <c r="C12" s="29" t="s">
        <v>281</v>
      </c>
      <c r="D12" s="29" t="s">
        <v>282</v>
      </c>
    </row>
    <row r="13" customFormat="false" ht="27.75" hidden="false" customHeight="true" outlineLevel="0" collapsed="false">
      <c r="A13" s="27" t="s">
        <v>283</v>
      </c>
      <c r="B13" s="29" t="s">
        <v>284</v>
      </c>
      <c r="C13" s="29" t="s">
        <v>285</v>
      </c>
      <c r="D13" s="29" t="s">
        <v>286</v>
      </c>
    </row>
    <row r="14" customFormat="false" ht="27.75" hidden="false" customHeight="true" outlineLevel="0" collapsed="false">
      <c r="A14" s="27" t="s">
        <v>287</v>
      </c>
      <c r="B14" s="29" t="s">
        <v>288</v>
      </c>
      <c r="C14" s="29" t="s">
        <v>289</v>
      </c>
      <c r="D14" s="29" t="s">
        <v>290</v>
      </c>
    </row>
    <row r="15" customFormat="false" ht="27.75" hidden="false" customHeight="true" outlineLevel="0" collapsed="false">
      <c r="A15" s="27" t="s">
        <v>291</v>
      </c>
      <c r="B15" s="29" t="s">
        <v>292</v>
      </c>
      <c r="C15" s="29" t="s">
        <v>275</v>
      </c>
      <c r="D15" s="29" t="s">
        <v>293</v>
      </c>
    </row>
    <row r="16" customFormat="false" ht="27.75" hidden="false" customHeight="true" outlineLevel="0" collapsed="false">
      <c r="A16" s="27" t="s">
        <v>294</v>
      </c>
      <c r="B16" s="29" t="s">
        <v>258</v>
      </c>
      <c r="C16" s="29" t="s">
        <v>295</v>
      </c>
      <c r="D16" s="29" t="s">
        <v>275</v>
      </c>
    </row>
    <row r="18" customFormat="false" ht="15" hidden="false" customHeight="false" outlineLevel="0" collapsed="false">
      <c r="A18" s="2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31.5" hidden="false" customHeight="true" outlineLevel="0" collapsed="false">
      <c r="A4" s="12" t="s">
        <v>299</v>
      </c>
      <c r="B4" s="12" t="s">
        <v>300</v>
      </c>
      <c r="C4" s="12" t="s">
        <v>301</v>
      </c>
      <c r="D4" s="12" t="s">
        <v>222</v>
      </c>
      <c r="E4" s="12" t="s">
        <v>302</v>
      </c>
      <c r="F4" s="12" t="s">
        <v>303</v>
      </c>
    </row>
    <row r="5" customFormat="false" ht="25.5" hidden="false" customHeight="true" outlineLevel="0" collapsed="false">
      <c r="A5" s="27" t="s">
        <v>85</v>
      </c>
      <c r="B5" s="29" t="s">
        <v>304</v>
      </c>
      <c r="C5" s="29" t="s">
        <v>275</v>
      </c>
      <c r="D5" s="29" t="s">
        <v>305</v>
      </c>
      <c r="E5" s="29" t="s">
        <v>306</v>
      </c>
      <c r="F5" s="29" t="s">
        <v>307</v>
      </c>
    </row>
    <row r="6" customFormat="false" ht="25.5" hidden="false" customHeight="true" outlineLevel="0" collapsed="false">
      <c r="A6" s="27" t="s">
        <v>86</v>
      </c>
      <c r="B6" s="29" t="s">
        <v>304</v>
      </c>
      <c r="C6" s="29" t="s">
        <v>275</v>
      </c>
      <c r="D6" s="29" t="s">
        <v>305</v>
      </c>
      <c r="E6" s="29" t="s">
        <v>306</v>
      </c>
      <c r="F6" s="29" t="s">
        <v>308</v>
      </c>
    </row>
    <row r="7" customFormat="false" ht="25.5" hidden="false" customHeight="true" outlineLevel="0" collapsed="false">
      <c r="A7" s="27" t="s">
        <v>87</v>
      </c>
      <c r="B7" s="29" t="s">
        <v>304</v>
      </c>
      <c r="C7" s="29" t="s">
        <v>275</v>
      </c>
      <c r="D7" s="29" t="s">
        <v>305</v>
      </c>
      <c r="E7" s="29" t="s">
        <v>306</v>
      </c>
      <c r="F7" s="29" t="s">
        <v>309</v>
      </c>
    </row>
    <row r="8" customFormat="false" ht="25.5" hidden="false" customHeight="true" outlineLevel="0" collapsed="false">
      <c r="A8" s="27" t="s">
        <v>88</v>
      </c>
      <c r="B8" s="29" t="s">
        <v>310</v>
      </c>
      <c r="C8" s="29" t="s">
        <v>311</v>
      </c>
      <c r="D8" s="29" t="s">
        <v>312</v>
      </c>
      <c r="E8" s="29" t="s">
        <v>313</v>
      </c>
      <c r="F8" s="29" t="s">
        <v>314</v>
      </c>
    </row>
    <row r="9" customFormat="false" ht="25.5" hidden="false" customHeight="true" outlineLevel="0" collapsed="false">
      <c r="A9" s="27" t="s">
        <v>89</v>
      </c>
      <c r="B9" s="29" t="s">
        <v>310</v>
      </c>
      <c r="C9" s="29" t="s">
        <v>311</v>
      </c>
      <c r="D9" s="29" t="s">
        <v>312</v>
      </c>
      <c r="E9" s="29" t="s">
        <v>313</v>
      </c>
      <c r="F9" s="29" t="s">
        <v>315</v>
      </c>
    </row>
    <row r="10" customFormat="false" ht="25.5" hidden="false" customHeight="true" outlineLevel="0" collapsed="false">
      <c r="A10" s="27" t="s">
        <v>90</v>
      </c>
      <c r="B10" s="29" t="s">
        <v>310</v>
      </c>
      <c r="C10" s="29" t="s">
        <v>311</v>
      </c>
      <c r="D10" s="29" t="s">
        <v>312</v>
      </c>
      <c r="E10" s="29" t="s">
        <v>313</v>
      </c>
      <c r="F10" s="29" t="s">
        <v>316</v>
      </c>
    </row>
    <row r="11" customFormat="false" ht="25.5" hidden="false" customHeight="true" outlineLevel="0" collapsed="false">
      <c r="A11" s="27" t="s">
        <v>91</v>
      </c>
      <c r="B11" s="29" t="s">
        <v>310</v>
      </c>
      <c r="C11" s="29" t="s">
        <v>311</v>
      </c>
      <c r="D11" s="29" t="s">
        <v>312</v>
      </c>
      <c r="E11" s="29" t="s">
        <v>313</v>
      </c>
      <c r="F11" s="29" t="s">
        <v>317</v>
      </c>
    </row>
    <row r="12" customFormat="false" ht="25.5" hidden="false" customHeight="true" outlineLevel="0" collapsed="false">
      <c r="A12" s="27" t="s">
        <v>92</v>
      </c>
      <c r="B12" s="29" t="s">
        <v>310</v>
      </c>
      <c r="C12" s="29" t="s">
        <v>318</v>
      </c>
      <c r="D12" s="29" t="s">
        <v>312</v>
      </c>
      <c r="E12" s="29" t="s">
        <v>313</v>
      </c>
      <c r="F12" s="29" t="s">
        <v>319</v>
      </c>
    </row>
    <row r="13" customFormat="false" ht="25.5" hidden="false" customHeight="true" outlineLevel="0" collapsed="false">
      <c r="A13" s="27" t="s">
        <v>93</v>
      </c>
      <c r="B13" s="29" t="s">
        <v>310</v>
      </c>
      <c r="C13" s="29" t="s">
        <v>318</v>
      </c>
      <c r="D13" s="29" t="s">
        <v>320</v>
      </c>
      <c r="E13" s="29" t="s">
        <v>313</v>
      </c>
      <c r="F13" s="29" t="s">
        <v>321</v>
      </c>
    </row>
    <row r="14" customFormat="false" ht="25.5" hidden="false" customHeight="true" outlineLevel="0" collapsed="false">
      <c r="A14" s="27" t="s">
        <v>94</v>
      </c>
      <c r="B14" s="29" t="s">
        <v>310</v>
      </c>
      <c r="C14" s="29" t="s">
        <v>318</v>
      </c>
      <c r="D14" s="29" t="s">
        <v>320</v>
      </c>
      <c r="E14" s="29" t="s">
        <v>313</v>
      </c>
      <c r="F14" s="29" t="s">
        <v>322</v>
      </c>
    </row>
    <row r="15" customFormat="false" ht="25.5" hidden="false" customHeight="true" outlineLevel="0" collapsed="false">
      <c r="A15" s="27" t="s">
        <v>95</v>
      </c>
      <c r="B15" s="29" t="s">
        <v>323</v>
      </c>
      <c r="C15" s="29" t="s">
        <v>324</v>
      </c>
      <c r="D15" s="29" t="s">
        <v>320</v>
      </c>
      <c r="E15" s="29" t="s">
        <v>313</v>
      </c>
      <c r="F15" s="29" t="s">
        <v>325</v>
      </c>
    </row>
    <row r="16" customFormat="false" ht="25.5" hidden="false" customHeight="true" outlineLevel="0" collapsed="false">
      <c r="A16" s="27" t="s">
        <v>96</v>
      </c>
      <c r="B16" s="29" t="s">
        <v>310</v>
      </c>
      <c r="C16" s="29" t="s">
        <v>311</v>
      </c>
      <c r="D16" s="29" t="s">
        <v>326</v>
      </c>
      <c r="E16" s="29" t="s">
        <v>313</v>
      </c>
      <c r="F16" s="29" t="s">
        <v>327</v>
      </c>
    </row>
    <row r="17" customFormat="false" ht="25.5" hidden="false" customHeight="true" outlineLevel="0" collapsed="false">
      <c r="A17" s="27" t="s">
        <v>97</v>
      </c>
      <c r="B17" s="29" t="s">
        <v>310</v>
      </c>
      <c r="C17" s="29" t="s">
        <v>328</v>
      </c>
      <c r="D17" s="29" t="s">
        <v>326</v>
      </c>
      <c r="E17" s="29" t="s">
        <v>313</v>
      </c>
      <c r="F17" s="29" t="s">
        <v>329</v>
      </c>
    </row>
    <row r="18" customFormat="false" ht="25.5" hidden="false" customHeight="true" outlineLevel="0" collapsed="false">
      <c r="A18" s="27" t="s">
        <v>98</v>
      </c>
      <c r="B18" s="29" t="s">
        <v>310</v>
      </c>
      <c r="C18" s="29" t="s">
        <v>328</v>
      </c>
      <c r="D18" s="29" t="s">
        <v>330</v>
      </c>
      <c r="E18" s="29" t="s">
        <v>313</v>
      </c>
      <c r="F18" s="29" t="s">
        <v>331</v>
      </c>
    </row>
    <row r="19" customFormat="false" ht="25.5" hidden="false" customHeight="true" outlineLevel="0" collapsed="false">
      <c r="A19" s="27" t="s">
        <v>99</v>
      </c>
      <c r="B19" s="29" t="s">
        <v>323</v>
      </c>
      <c r="C19" s="29" t="s">
        <v>332</v>
      </c>
      <c r="D19" s="29" t="s">
        <v>333</v>
      </c>
      <c r="E19" s="29" t="s">
        <v>313</v>
      </c>
      <c r="F19" s="29" t="s">
        <v>334</v>
      </c>
    </row>
    <row r="20" customFormat="false" ht="25.5" hidden="false" customHeight="true" outlineLevel="0" collapsed="false">
      <c r="A20" s="27" t="s">
        <v>100</v>
      </c>
      <c r="B20" s="29" t="s">
        <v>310</v>
      </c>
      <c r="C20" s="29" t="s">
        <v>311</v>
      </c>
      <c r="D20" s="29" t="s">
        <v>335</v>
      </c>
      <c r="E20" s="29" t="s">
        <v>336</v>
      </c>
      <c r="F20" s="29" t="s">
        <v>337</v>
      </c>
    </row>
    <row r="21" customFormat="false" ht="25.5" hidden="false" customHeight="true" outlineLevel="0" collapsed="false">
      <c r="A21" s="27" t="s">
        <v>101</v>
      </c>
      <c r="B21" s="29" t="s">
        <v>310</v>
      </c>
      <c r="C21" s="29" t="s">
        <v>311</v>
      </c>
      <c r="D21" s="29" t="s">
        <v>335</v>
      </c>
      <c r="E21" s="29" t="s">
        <v>336</v>
      </c>
      <c r="F21" s="29" t="s">
        <v>338</v>
      </c>
    </row>
    <row r="22" customFormat="false" ht="25.5" hidden="false" customHeight="true" outlineLevel="0" collapsed="false">
      <c r="A22" s="27" t="s">
        <v>102</v>
      </c>
      <c r="B22" s="29" t="s">
        <v>310</v>
      </c>
      <c r="C22" s="29" t="s">
        <v>339</v>
      </c>
      <c r="D22" s="29" t="s">
        <v>340</v>
      </c>
      <c r="E22" s="29" t="s">
        <v>341</v>
      </c>
      <c r="F22" s="29" t="s">
        <v>342</v>
      </c>
    </row>
    <row r="23" customFormat="false" ht="25.5" hidden="false" customHeight="true" outlineLevel="0" collapsed="false">
      <c r="A23" s="27" t="s">
        <v>103</v>
      </c>
      <c r="B23" s="29" t="s">
        <v>310</v>
      </c>
      <c r="C23" s="29" t="s">
        <v>339</v>
      </c>
      <c r="D23" s="29" t="s">
        <v>343</v>
      </c>
      <c r="E23" s="29" t="s">
        <v>344</v>
      </c>
      <c r="F23" s="29" t="s">
        <v>345</v>
      </c>
    </row>
    <row r="24" customFormat="false" ht="25.5" hidden="false" customHeight="true" outlineLevel="0" collapsed="false">
      <c r="A24" s="27" t="s">
        <v>104</v>
      </c>
      <c r="B24" s="29" t="s">
        <v>310</v>
      </c>
      <c r="C24" s="29" t="s">
        <v>339</v>
      </c>
      <c r="D24" s="29" t="s">
        <v>346</v>
      </c>
      <c r="E24" s="29" t="s">
        <v>341</v>
      </c>
      <c r="F24" s="29" t="s">
        <v>347</v>
      </c>
    </row>
    <row r="25" customFormat="false" ht="25.5" hidden="false" customHeight="true" outlineLevel="0" collapsed="false">
      <c r="A25" s="27" t="s">
        <v>105</v>
      </c>
      <c r="B25" s="29" t="s">
        <v>310</v>
      </c>
      <c r="C25" s="29" t="s">
        <v>339</v>
      </c>
      <c r="D25" s="29" t="s">
        <v>343</v>
      </c>
      <c r="E25" s="29" t="s">
        <v>344</v>
      </c>
      <c r="F25" s="29" t="s">
        <v>348</v>
      </c>
    </row>
    <row r="26" customFormat="false" ht="25.5" hidden="false" customHeight="true" outlineLevel="0" collapsed="false">
      <c r="A26" s="27" t="s">
        <v>106</v>
      </c>
      <c r="B26" s="29" t="s">
        <v>323</v>
      </c>
      <c r="C26" s="29" t="s">
        <v>349</v>
      </c>
      <c r="D26" s="29" t="s">
        <v>350</v>
      </c>
      <c r="E26" s="29" t="s">
        <v>351</v>
      </c>
      <c r="F26" s="29" t="s">
        <v>352</v>
      </c>
    </row>
    <row r="27" customFormat="false" ht="25.5" hidden="false" customHeight="true" outlineLevel="0" collapsed="false">
      <c r="A27" s="27" t="s">
        <v>107</v>
      </c>
      <c r="B27" s="29" t="s">
        <v>323</v>
      </c>
      <c r="C27" s="29" t="s">
        <v>353</v>
      </c>
      <c r="D27" s="29" t="s">
        <v>350</v>
      </c>
      <c r="E27" s="29" t="s">
        <v>354</v>
      </c>
      <c r="F27" s="29" t="s">
        <v>355</v>
      </c>
    </row>
    <row r="28" customFormat="false" ht="25.5" hidden="false" customHeight="true" outlineLevel="0" collapsed="false">
      <c r="A28" s="27"/>
      <c r="B28" s="29"/>
      <c r="C28" s="29"/>
      <c r="D28" s="29"/>
      <c r="E28" s="29"/>
      <c r="F28" s="29"/>
    </row>
    <row r="29" customFormat="false" ht="25.5" hidden="false" customHeight="true" outlineLevel="0" collapsed="false">
      <c r="A29" s="31" t="s">
        <v>356</v>
      </c>
      <c r="B29" s="31"/>
      <c r="C29" s="31"/>
      <c r="D29" s="31"/>
      <c r="E29" s="31"/>
      <c r="F29" s="31"/>
    </row>
    <row r="30" customFormat="false" ht="25.5" hidden="false" customHeight="true" outlineLevel="0" collapsed="false">
      <c r="A30" s="27" t="s">
        <v>174</v>
      </c>
      <c r="B30" s="29" t="s">
        <v>310</v>
      </c>
      <c r="C30" s="29" t="s">
        <v>357</v>
      </c>
      <c r="D30" s="29" t="s">
        <v>320</v>
      </c>
      <c r="E30" s="29" t="s">
        <v>313</v>
      </c>
      <c r="F30" s="29" t="s">
        <v>358</v>
      </c>
    </row>
    <row r="31" customFormat="false" ht="25.5" hidden="false" customHeight="true" outlineLevel="0" collapsed="false">
      <c r="A31" s="27" t="s">
        <v>176</v>
      </c>
      <c r="B31" s="29" t="s">
        <v>310</v>
      </c>
      <c r="C31" s="29" t="s">
        <v>357</v>
      </c>
      <c r="D31" s="29" t="s">
        <v>320</v>
      </c>
      <c r="E31" s="29" t="s">
        <v>313</v>
      </c>
      <c r="F31" s="29" t="s">
        <v>359</v>
      </c>
    </row>
    <row r="32" customFormat="false" ht="25.5" hidden="false" customHeight="true" outlineLevel="0" collapsed="false">
      <c r="A32" s="27" t="s">
        <v>178</v>
      </c>
      <c r="B32" s="29" t="s">
        <v>310</v>
      </c>
      <c r="C32" s="29" t="s">
        <v>357</v>
      </c>
      <c r="D32" s="29" t="s">
        <v>320</v>
      </c>
      <c r="E32" s="29" t="s">
        <v>313</v>
      </c>
      <c r="F32" s="29" t="s">
        <v>360</v>
      </c>
    </row>
    <row r="33" customFormat="false" ht="25.5" hidden="false" customHeight="true" outlineLevel="0" collapsed="false">
      <c r="A33" s="27" t="s">
        <v>179</v>
      </c>
      <c r="B33" s="29" t="s">
        <v>310</v>
      </c>
      <c r="C33" s="29" t="s">
        <v>357</v>
      </c>
      <c r="D33" s="29" t="s">
        <v>320</v>
      </c>
      <c r="E33" s="29" t="s">
        <v>313</v>
      </c>
      <c r="F33" s="29" t="s">
        <v>361</v>
      </c>
    </row>
    <row r="34" customFormat="false" ht="25.5" hidden="false" customHeight="true" outlineLevel="0" collapsed="false">
      <c r="A34" s="27" t="s">
        <v>180</v>
      </c>
      <c r="B34" s="29" t="s">
        <v>310</v>
      </c>
      <c r="C34" s="29" t="s">
        <v>357</v>
      </c>
      <c r="D34" s="29" t="s">
        <v>320</v>
      </c>
      <c r="E34" s="29" t="s">
        <v>362</v>
      </c>
      <c r="F34" s="29" t="s">
        <v>363</v>
      </c>
    </row>
    <row r="35" customFormat="false" ht="25.5" hidden="false" customHeight="true" outlineLevel="0" collapsed="false">
      <c r="A35" s="27" t="s">
        <v>207</v>
      </c>
      <c r="B35" s="29" t="s">
        <v>310</v>
      </c>
      <c r="C35" s="29" t="s">
        <v>357</v>
      </c>
      <c r="D35" s="29" t="s">
        <v>320</v>
      </c>
      <c r="E35" s="29" t="s">
        <v>313</v>
      </c>
      <c r="F35" s="29" t="s">
        <v>364</v>
      </c>
    </row>
    <row r="36" customFormat="false" ht="25.5" hidden="false" customHeight="true" outlineLevel="0" collapsed="false">
      <c r="A36" s="27" t="s">
        <v>190</v>
      </c>
      <c r="B36" s="29" t="s">
        <v>310</v>
      </c>
      <c r="C36" s="29" t="s">
        <v>357</v>
      </c>
      <c r="D36" s="29" t="s">
        <v>320</v>
      </c>
      <c r="E36" s="29" t="s">
        <v>336</v>
      </c>
      <c r="F36" s="29" t="s">
        <v>365</v>
      </c>
    </row>
    <row r="37" customFormat="false" ht="25.5" hidden="false" customHeight="true" outlineLevel="0" collapsed="false">
      <c r="A37" s="27" t="s">
        <v>193</v>
      </c>
      <c r="B37" s="29" t="s">
        <v>310</v>
      </c>
      <c r="C37" s="29" t="s">
        <v>357</v>
      </c>
      <c r="D37" s="29" t="s">
        <v>320</v>
      </c>
      <c r="E37" s="29" t="s">
        <v>313</v>
      </c>
      <c r="F37" s="29" t="s">
        <v>366</v>
      </c>
    </row>
    <row r="38" customFormat="false" ht="25.5" hidden="false" customHeight="true" outlineLevel="0" collapsed="false">
      <c r="A38" s="27" t="s">
        <v>197</v>
      </c>
      <c r="B38" s="29" t="s">
        <v>310</v>
      </c>
      <c r="C38" s="29" t="s">
        <v>357</v>
      </c>
      <c r="D38" s="29" t="s">
        <v>320</v>
      </c>
      <c r="E38" s="29" t="s">
        <v>341</v>
      </c>
      <c r="F38" s="29" t="s">
        <v>367</v>
      </c>
    </row>
    <row r="39" customFormat="false" ht="25.5" hidden="false" customHeight="true" outlineLevel="0" collapsed="false">
      <c r="A39" s="27" t="s">
        <v>198</v>
      </c>
      <c r="B39" s="29" t="s">
        <v>310</v>
      </c>
      <c r="C39" s="29" t="s">
        <v>357</v>
      </c>
      <c r="D39" s="29" t="s">
        <v>320</v>
      </c>
      <c r="E39" s="29" t="s">
        <v>351</v>
      </c>
      <c r="F39" s="29" t="s">
        <v>368</v>
      </c>
    </row>
    <row r="40" customFormat="false" ht="25.5" hidden="false" customHeight="true" outlineLevel="0" collapsed="false">
      <c r="A40" s="27" t="s">
        <v>210</v>
      </c>
      <c r="B40" s="29" t="s">
        <v>310</v>
      </c>
      <c r="C40" s="29" t="s">
        <v>357</v>
      </c>
      <c r="D40" s="29" t="s">
        <v>320</v>
      </c>
      <c r="E40" s="29" t="s">
        <v>313</v>
      </c>
      <c r="F40" s="29" t="s">
        <v>369</v>
      </c>
    </row>
    <row r="41" customFormat="false" ht="25.5" hidden="false" customHeight="true" outlineLevel="0" collapsed="false">
      <c r="A41" s="27" t="s">
        <v>183</v>
      </c>
      <c r="B41" s="29" t="s">
        <v>370</v>
      </c>
      <c r="C41" s="29" t="s">
        <v>275</v>
      </c>
      <c r="D41" s="29" t="s">
        <v>320</v>
      </c>
      <c r="E41" s="29" t="s">
        <v>313</v>
      </c>
      <c r="F41" s="29" t="s">
        <v>371</v>
      </c>
    </row>
    <row r="42" customFormat="false" ht="25.5" hidden="false" customHeight="true" outlineLevel="0" collapsed="false">
      <c r="A42" s="27"/>
      <c r="B42" s="29"/>
      <c r="C42" s="29"/>
      <c r="D42" s="29"/>
      <c r="E42" s="29"/>
      <c r="F42" s="29"/>
    </row>
    <row r="43" customFormat="false" ht="25.5" hidden="false" customHeight="true" outlineLevel="0" collapsed="false">
      <c r="A43" s="31" t="s">
        <v>372</v>
      </c>
      <c r="B43" s="31"/>
      <c r="C43" s="31"/>
      <c r="D43" s="31"/>
      <c r="E43" s="31"/>
      <c r="F43" s="31"/>
    </row>
    <row r="44" customFormat="false" ht="25.5" hidden="false" customHeight="true" outlineLevel="0" collapsed="false">
      <c r="A44" s="27" t="s">
        <v>373</v>
      </c>
      <c r="B44" s="29" t="s">
        <v>374</v>
      </c>
      <c r="C44" s="29" t="s">
        <v>357</v>
      </c>
      <c r="D44" s="29" t="s">
        <v>320</v>
      </c>
      <c r="E44" s="29" t="s">
        <v>275</v>
      </c>
      <c r="F44" s="29" t="s">
        <v>375</v>
      </c>
    </row>
    <row r="45" customFormat="false" ht="25.5" hidden="false" customHeight="true" outlineLevel="0" collapsed="false">
      <c r="A45" s="27" t="s">
        <v>376</v>
      </c>
      <c r="B45" s="29" t="s">
        <v>323</v>
      </c>
      <c r="C45" s="29" t="s">
        <v>324</v>
      </c>
      <c r="D45" s="29" t="s">
        <v>377</v>
      </c>
      <c r="E45" s="29" t="s">
        <v>313</v>
      </c>
      <c r="F45" s="29" t="s">
        <v>378</v>
      </c>
    </row>
    <row r="47" customFormat="false" ht="15" hidden="false" customHeight="false" outlineLevel="0" collapsed="false">
      <c r="A47" s="2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2026-07-24T12:30:21Z</dcterms:created>
  <dc:creator>openpyxl</dc:creator>
  <dc:description/>
  <dc:language>en-US</dc:language>
  <cp:lastModifiedBy/>
  <dcterms:modified xsi:type="dcterms:W3CDTF">2026-07-24T12:30:21Z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